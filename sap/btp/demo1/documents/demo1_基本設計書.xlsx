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updateLinks="never" codeName="ThisWorkbook"/>
  <mc:AlternateContent xmlns:mc="http://schemas.openxmlformats.org/markup-compatibility/2006">
    <mc:Choice Requires="x15">
      <x15ac:absPath xmlns:x15ac="http://schemas.microsoft.com/office/spreadsheetml/2010/11/ac" url="https://hqhamamatsu-my.sharepoint.com/personal/kohei_kine_hq_hpk_co_jp/Documents/共有/TIS様 共有用/S4アドオン/個人フォルダ/黄/BTP/ZSD0011_014/"/>
    </mc:Choice>
  </mc:AlternateContent>
  <xr:revisionPtr revIDLastSave="2" documentId="13_ncr:1_{3C6527DB-2F76-4AD0-A428-91B44F11CC34}" xr6:coauthVersionLast="47" xr6:coauthVersionMax="47" xr10:uidLastSave="{A369F427-C9DA-48D6-9146-15BD0F94AEA8}"/>
  <bookViews>
    <workbookView xWindow="-108" yWindow="-108" windowWidth="23256" windowHeight="12456" tabRatio="830" activeTab="6" xr2:uid="{00000000-000D-0000-FFFF-FFFF00000000}"/>
  </bookViews>
  <sheets>
    <sheet name="IF定義" sheetId="70" r:id="rId1"/>
    <sheet name="マッピング定義（海外）" sheetId="79" r:id="rId2"/>
    <sheet name="プロセスフロー" sheetId="82" r:id="rId3"/>
    <sheet name="プロセス定義" sheetId="80" r:id="rId4"/>
    <sheet name="DB定義" sheetId="81" r:id="rId5"/>
    <sheet name="外部パラメータ定義" sheetId="48" r:id="rId6"/>
    <sheet name="File定義" sheetId="59" r:id="rId7"/>
    <sheet name="エラー履歴テーブル仕様" sheetId="83" r:id="rId8"/>
    <sheet name="リスト" sheetId="28" r:id="rId9"/>
    <sheet name="①受信側記載要領" sheetId="6" state="hidden" r:id="rId10"/>
    <sheet name="②トランザクション定義書とのマッピング内容記載要領" sheetId="5" state="hidden" r:id="rId11"/>
  </sheets>
  <externalReferences>
    <externalReference r:id="rId12"/>
    <externalReference r:id="rId13"/>
    <externalReference r:id="rId14"/>
    <externalReference r:id="rId15"/>
    <externalReference r:id="rId16"/>
    <externalReference r:id="rId17"/>
    <externalReference r:id="rId18"/>
  </externalReferences>
  <definedNames>
    <definedName name="_1印">[1]社員リスト!#REF!</definedName>
    <definedName name="_DAT1">#REF!</definedName>
    <definedName name="_DAT2">#REF!</definedName>
    <definedName name="_DAT3">#REF!</definedName>
    <definedName name="_dat31">#REF!</definedName>
    <definedName name="_DAT4">#REF!</definedName>
    <definedName name="_DAT5">#REF!</definedName>
    <definedName name="_DAT6">#REF!</definedName>
    <definedName name="_DAT7">#REF!</definedName>
    <definedName name="_DAT8">#REF!</definedName>
    <definedName name="_DAT9">#REF!</definedName>
    <definedName name="_Fill" hidden="1">'[2]項目一覧(SAP版)'!$B$64:$B$162</definedName>
    <definedName name="_xlnm._FilterDatabase" localSheetId="1" hidden="1">'マッピング定義（海外）'!$A$5:$CA$5</definedName>
    <definedName name="_xlnm._FilterDatabase" hidden="1">'[3]１．InfoCube (YKCH0010)案１:１．InfoCube (YKCH0010) 案２'!$W$5:$W$5</definedName>
    <definedName name="BASE">#REF!</definedName>
    <definedName name="BASE2">#REF!</definedName>
    <definedName name="BCUnit">#REF!</definedName>
    <definedName name="DS_KEYS">#REF!</definedName>
    <definedName name="DS_NM">#REF!</definedName>
    <definedName name="EAI・ETL">[4]List!#REF!</definedName>
    <definedName name="EmployeeStatus">#REF!</definedName>
    <definedName name="From・0件ファイル連携">[4]List!#REF!</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Count" hidden="1">1</definedName>
    <definedName name="Industry">#REF!</definedName>
    <definedName name="KEYS">#REF!</definedName>
    <definedName name="KMStatus">#REF!</definedName>
    <definedName name="NAMES">#REF!</definedName>
    <definedName name="NEC_KEYS">#REF!</definedName>
    <definedName name="Position">#REF!</definedName>
    <definedName name="_xlnm.Print_Area" localSheetId="4">DB定義!$A$1:$E$25</definedName>
    <definedName name="_xlnm.Print_Area" localSheetId="6">File定義!$A$1:$H$26</definedName>
    <definedName name="_xlnm.Print_Area" localSheetId="0">IF定義!$A$1:$AT$165</definedName>
    <definedName name="_xlnm.Print_Area" localSheetId="2">プロセスフロー!$A$1:$BK$128</definedName>
    <definedName name="_xlnm.Print_Area" localSheetId="3">プロセス定義!$A$1:$H$52</definedName>
    <definedName name="_xlnm.Print_Area" localSheetId="5">外部パラメータ定義!$A$1:$E$22</definedName>
    <definedName name="ProjectStatus">#REF!</definedName>
    <definedName name="Push・Pull">[4]List!#REF!</definedName>
    <definedName name="ServiceOffering">#REF!</definedName>
    <definedName name="Solution">#REF!</definedName>
    <definedName name="SYMBOL">#REF!</definedName>
    <definedName name="TBL_KEYS">#REF!</definedName>
    <definedName name="TBL_KEYS2">#REF!</definedName>
    <definedName name="TEST0">#REF!</definedName>
    <definedName name="TESTKEYS">#REF!</definedName>
    <definedName name="TESTVKEY">#REF!</definedName>
    <definedName name="To・0件ファイル連携">[4]List!#REF!</definedName>
    <definedName name="WorthAReference">#REF!</definedName>
    <definedName name="グループ名">[5]マスタ!$A$4:$A$14</definedName>
    <definedName name="データ形式">[4]List!#REF!</definedName>
    <definedName name="データ構造">[4]List!#REF!</definedName>
    <definedName name="バージョン">#REF!</definedName>
    <definedName name="ファイルデータ形式">[4]List!#REF!</definedName>
    <definedName name="ヘッダ行有無">[4]List!#REF!</definedName>
    <definedName name="囲み文字">[4]List!#REF!</definedName>
    <definedName name="会社名">[4]List!#REF!</definedName>
    <definedName name="改行コード">[4]List!#REF!</definedName>
    <definedName name="拡張子">[4]List!#REF!</definedName>
    <definedName name="区切り文字">[4]List!#REF!</definedName>
    <definedName name="繰り返し">[4]List!#REF!</definedName>
    <definedName name="更新データ連携方法">[4]List!#REF!</definedName>
    <definedName name="作成者">#REF!</definedName>
    <definedName name="作成日">#REF!</definedName>
    <definedName name="削除データ連携方法">[4]List!#REF!</definedName>
    <definedName name="実行サイクル">[4]List!$E$2:$E$11</definedName>
    <definedName name="承認者">#REF!</definedName>
    <definedName name="承認日">#REF!</definedName>
    <definedName name="障害時の再処理可否">[4]List!#REF!</definedName>
    <definedName name="制御ファイル要否">[4]List!#REF!</definedName>
    <definedName name="送信データ抽出条件">[4]List!#REF!</definedName>
    <definedName name="通信方式">[4]List!#REF!</definedName>
    <definedName name="店舗DF_KEYS">#REF!</definedName>
    <definedName name="番号">[6]型TB!#REF!</definedName>
    <definedName name="物流DF_KEYS">#REF!</definedName>
    <definedName name="文字コード">[4]List!#REF!</definedName>
    <definedName name="文書ID">#REF!</definedName>
    <definedName name="連携プロトコル">[4]List!#REF!</definedName>
    <definedName name="連携方式">[4]List!#REF!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1" i="79" l="1"/>
  <c r="A50" i="79"/>
  <c r="A49" i="79"/>
  <c r="A48" i="79"/>
  <c r="A47" i="79"/>
  <c r="A46" i="79"/>
  <c r="A45" i="79"/>
  <c r="A44" i="79"/>
  <c r="A43" i="79"/>
  <c r="A42" i="79"/>
  <c r="A41" i="79"/>
  <c r="A40" i="79"/>
  <c r="A39" i="79"/>
  <c r="A36" i="79"/>
  <c r="A35" i="79"/>
  <c r="A34" i="79"/>
  <c r="A33" i="79"/>
  <c r="A32" i="79"/>
  <c r="A31" i="79"/>
  <c r="A30" i="79"/>
  <c r="A29" i="79"/>
  <c r="A28" i="79"/>
  <c r="A27" i="79"/>
  <c r="A26" i="79"/>
  <c r="A25" i="79"/>
  <c r="A24" i="79"/>
  <c r="A23" i="79"/>
  <c r="A22" i="79"/>
  <c r="A21" i="79"/>
  <c r="A20" i="79"/>
  <c r="A19" i="79"/>
  <c r="A18" i="79"/>
  <c r="A17" i="79"/>
  <c r="A16" i="79"/>
  <c r="J15" i="79"/>
  <c r="A15" i="79"/>
  <c r="A14" i="79"/>
  <c r="A13" i="79"/>
  <c r="A12" i="79"/>
  <c r="A11" i="79"/>
  <c r="A10" i="79"/>
  <c r="A9" i="79"/>
  <c r="A8" i="79"/>
  <c r="A7" i="79"/>
  <c r="A6" i="79"/>
  <c r="A5" i="79"/>
  <c r="A4" i="79"/>
</calcChain>
</file>

<file path=xl/sharedStrings.xml><?xml version="1.0" encoding="utf-8"?>
<sst xmlns="http://schemas.openxmlformats.org/spreadsheetml/2006/main" count="1709" uniqueCount="873">
  <si>
    <t>IF基本設計書</t>
    <rPh sb="2" eb="7">
      <t>キホンセッケイショ</t>
    </rPh>
    <phoneticPr fontId="10"/>
  </si>
  <si>
    <t>インタフェース名称</t>
    <rPh sb="7" eb="9">
      <t>メイショウ</t>
    </rPh>
    <phoneticPr fontId="10"/>
  </si>
  <si>
    <t>出荷リスト情報IF</t>
  </si>
  <si>
    <t>インタフェースID</t>
    <phoneticPr fontId="10"/>
  </si>
  <si>
    <t>IF039</t>
  </si>
  <si>
    <t>パッケージ名</t>
  </si>
  <si>
    <t>HPK_SD_SmartCat</t>
    <phoneticPr fontId="10"/>
  </si>
  <si>
    <t>インタフェース名</t>
  </si>
  <si>
    <t>HPK_SD_SmartCat_039_01_S4HANA_to_SmartCat_OutboundDeliveryList</t>
    <phoneticPr fontId="10"/>
  </si>
  <si>
    <t>送信元システム</t>
    <rPh sb="0" eb="3">
      <t>ソウシンモト</t>
    </rPh>
    <phoneticPr fontId="10"/>
  </si>
  <si>
    <t>RISE S/4 HANA</t>
    <phoneticPr fontId="10"/>
  </si>
  <si>
    <t>受信先システム</t>
    <rPh sb="0" eb="2">
      <t>ジュシン</t>
    </rPh>
    <rPh sb="2" eb="3">
      <t>サキ</t>
    </rPh>
    <phoneticPr fontId="10"/>
  </si>
  <si>
    <t>HPKDB(SFTP)</t>
    <phoneticPr fontId="10"/>
  </si>
  <si>
    <t>送信元オブジェクト</t>
    <rPh sb="0" eb="2">
      <t>ソウシン</t>
    </rPh>
    <rPh sb="2" eb="3">
      <t>モト</t>
    </rPh>
    <phoneticPr fontId="10"/>
  </si>
  <si>
    <t>出荷伝票、受注伝票、品目マスタ、得意先品目</t>
  </si>
  <si>
    <t>受信先オブジェクト</t>
    <rPh sb="0" eb="2">
      <t>ジュシン</t>
    </rPh>
    <rPh sb="2" eb="3">
      <t>サキ</t>
    </rPh>
    <phoneticPr fontId="10"/>
  </si>
  <si>
    <t>出荷リスト情報</t>
  </si>
  <si>
    <t>起動方法</t>
    <rPh sb="0" eb="4">
      <t>キドウホウホウ</t>
    </rPh>
    <phoneticPr fontId="10"/>
  </si>
  <si>
    <t>時間間隔</t>
    <rPh sb="0" eb="4">
      <t>ジカンカンカク</t>
    </rPh>
    <phoneticPr fontId="28"/>
  </si>
  <si>
    <t>実行サイクル</t>
    <rPh sb="0" eb="2">
      <t>ジッコウ</t>
    </rPh>
    <phoneticPr fontId="10"/>
  </si>
  <si>
    <t>毎時</t>
  </si>
  <si>
    <t>全件/差分</t>
    <rPh sb="0" eb="2">
      <t>ゼンケン</t>
    </rPh>
    <rPh sb="3" eb="5">
      <t>サブン</t>
    </rPh>
    <phoneticPr fontId="10"/>
  </si>
  <si>
    <t>全件</t>
  </si>
  <si>
    <t>月当たりのレコード数</t>
    <rPh sb="0" eb="1">
      <t>ツキ</t>
    </rPh>
    <rPh sb="1" eb="2">
      <t>ア</t>
    </rPh>
    <rPh sb="9" eb="10">
      <t>スウ</t>
    </rPh>
    <phoneticPr fontId="10"/>
  </si>
  <si>
    <t>75000件</t>
  </si>
  <si>
    <t>データフロー</t>
    <phoneticPr fontId="10"/>
  </si>
  <si>
    <t>PRJのIF開発方針に則りDSP(DataSphere)をIFのデータソースとする。</t>
  </si>
  <si>
    <t>S/4→DSPはアプリ共通チームの開発範囲となるため、本IF要件定義書では言及しない。</t>
  </si>
  <si>
    <t>業務要件概要</t>
    <rPh sb="0" eb="2">
      <t>ギョウム</t>
    </rPh>
    <rPh sb="2" eb="4">
      <t>ヨウケン</t>
    </rPh>
    <rPh sb="4" eb="6">
      <t>ガイヨウ</t>
    </rPh>
    <phoneticPr fontId="10"/>
  </si>
  <si>
    <t>インタフェース概要</t>
    <rPh sb="7" eb="9">
      <t>ガイヨウ</t>
    </rPh>
    <phoneticPr fontId="10"/>
  </si>
  <si>
    <t>未出庫の出荷伝票をS/4 HANAから共有フォルダへと出力する。</t>
  </si>
  <si>
    <t>前提条件</t>
    <rPh sb="0" eb="2">
      <t>ゼンテイ</t>
    </rPh>
    <rPh sb="2" eb="4">
      <t>ジョウケン</t>
    </rPh>
    <phoneticPr fontId="10"/>
  </si>
  <si>
    <t>・出荷伝票が登録されていること</t>
  </si>
  <si>
    <t>送信要件</t>
    <rPh sb="0" eb="2">
      <t>ソウシン</t>
    </rPh>
    <rPh sb="2" eb="4">
      <t>ヨウケン</t>
    </rPh>
    <phoneticPr fontId="10"/>
  </si>
  <si>
    <t>・実行サイクルは1日2回（昼と夜間）とする。</t>
  </si>
  <si>
    <t>20260217 TIS社指摘対応</t>
  </si>
  <si>
    <t>・送信対象に当てはまる出荷伝票とそれに関連する情報を差分（送信済みではないもの）のみ送信する。</t>
  </si>
  <si>
    <t>前回実行時刻以降に登録・変更された出荷伝票を抽出する。</t>
  </si>
  <si>
    <t>20260130 差分連携</t>
  </si>
  <si>
    <t>エラーが発生した場合、同一条件で出荷伝票を再度抽出する。</t>
  </si>
  <si>
    <t>※補足：ジョブは2回実行する想定だが、夜間バッチでは全件取得、午後のジョブでは差分連携で取得する。</t>
  </si>
  <si>
    <t>・夜間実行の場合、全件のデータを抽出すること。</t>
  </si>
  <si>
    <t>IF実行時刻がシステム時刻が01:00以前の場合、夜間実行とする。</t>
  </si>
  <si>
    <t>20260326 TIS社指摘対応 夜間実行の判定を追加</t>
  </si>
  <si>
    <t>・昼間実行の場合、前回タイムスタンプより差分のデータを抽出すること。</t>
  </si>
  <si>
    <t>・以下条件で出荷対象の出荷伝票を抽出する。</t>
  </si>
  <si>
    <t>・出荷伝票は不完全ではないこと</t>
  </si>
  <si>
    <t>・出荷明細は不完全ではないこと</t>
  </si>
  <si>
    <t>・出荷伝票は与信ブロックが設定されていないこと</t>
  </si>
  <si>
    <t>・出荷伝票はピッキングステータスが未処理または関連なしとなっていること</t>
  </si>
  <si>
    <t>20260218 事前ピック作業のため</t>
  </si>
  <si>
    <t>・出荷伝票に未出庫数量があること</t>
  </si>
  <si>
    <t>・抽出対象の出荷伝票タイプは、出荷グループが出荷作業をする対象のみとする</t>
  </si>
  <si>
    <t>・標準出荷</t>
  </si>
  <si>
    <t>・海外発送依頼</t>
  </si>
  <si>
    <t>・標準無償出荷</t>
  </si>
  <si>
    <t>・在庫転送</t>
  </si>
  <si>
    <t>出荷</t>
  </si>
  <si>
    <t>明細</t>
  </si>
  <si>
    <t>登録日</t>
  </si>
  <si>
    <t>積載日</t>
  </si>
  <si>
    <t>出庫予定日</t>
  </si>
  <si>
    <t>・有償材料支給</t>
  </si>
  <si>
    <t>10</t>
  </si>
  <si>
    <t>1/4</t>
  </si>
  <si>
    <t>1/30</t>
  </si>
  <si>
    <t>×</t>
  </si>
  <si>
    <t>2/4</t>
  </si>
  <si>
    <t>・無償材料支給</t>
  </si>
  <si>
    <t>〇</t>
  </si>
  <si>
    <t>2/5</t>
  </si>
  <si>
    <t>・抽出対象の出荷ポイントは出荷グループが出荷作業をする対象のみとする</t>
  </si>
  <si>
    <t>2/6</t>
  </si>
  <si>
    <t>以下は抽出対象外とする。</t>
  </si>
  <si>
    <t>20260217 TIS社指摘対応 出荷ポイントを明記</t>
  </si>
  <si>
    <t>2/7</t>
  </si>
  <si>
    <t>・有償支給（国内）</t>
  </si>
  <si>
    <t>・有償支給（外部からBHP）</t>
  </si>
  <si>
    <t>・本社</t>
  </si>
  <si>
    <t>・HPJ</t>
  </si>
  <si>
    <t>・BOM子および仕入先直送の明細カテゴリは除外する。</t>
  </si>
  <si>
    <t>以下の実行条件で抽出する。</t>
  </si>
  <si>
    <t>20260226 営業承認遅延対応</t>
  </si>
  <si>
    <t>・積載日が本日の出荷伝票のみを抽出する。</t>
  </si>
  <si>
    <t>・登録日が昨日かつ積載日が過去の伝票全てを抽出する。</t>
  </si>
  <si>
    <t>登録時刻＞</t>
  </si>
  <si>
    <t>1/29</t>
  </si>
  <si>
    <t>・出荷ブロックがブランクとなっている、または二段階目の出荷ブロック（Z7,Z9）が設定されている出荷伝票は抽出対象外とする。</t>
  </si>
  <si>
    <t>20260306 TIS社指摘対応</t>
  </si>
  <si>
    <t>受信要件</t>
    <rPh sb="0" eb="2">
      <t>ジュシン</t>
    </rPh>
    <rPh sb="2" eb="4">
      <t>ヨウケン</t>
    </rPh>
    <phoneticPr fontId="10"/>
  </si>
  <si>
    <t>・事業部毎および出庫日毎および通常/営業承認遅延毎にファイルを分ける</t>
  </si>
  <si>
    <t>・海外の場合、上記に含め受注先毎にファイルを分ける</t>
  </si>
  <si>
    <t>・国内/海外で異なる項目を出力する</t>
  </si>
  <si>
    <t>国内はシート「マッピング定義（国内）」を参照</t>
  </si>
  <si>
    <t>海外はシート「マッピング定義（海外）」を参照</t>
  </si>
  <si>
    <t>・国内のレコードは以下項目の通り、降順でソートする。</t>
  </si>
  <si>
    <t>20260210 ソート順の追加</t>
  </si>
  <si>
    <t>出荷ポイント</t>
  </si>
  <si>
    <t>出庫日</t>
  </si>
  <si>
    <t>伝票タイプ</t>
  </si>
  <si>
    <t>海外発送依頼/有償材料支給/無償材料支給はファイルの最後に出力する</t>
  </si>
  <si>
    <t>届け先カナ名</t>
  </si>
  <si>
    <t>届け先BPコード</t>
  </si>
  <si>
    <t>※カナ名については得意先マスタ「検索語句1」を使用するため、記号、英数字、アルファベット順、ひらがな、カナ、漢字の降順でソートする。</t>
  </si>
  <si>
    <t>・海外のレコードは以下項目の通り、降順でソートする。</t>
  </si>
  <si>
    <t>出荷ポイント</t>
    <phoneticPr fontId="10"/>
  </si>
  <si>
    <t>出庫日</t>
    <phoneticPr fontId="10"/>
  </si>
  <si>
    <t>伝票タイプ</t>
    <phoneticPr fontId="10"/>
  </si>
  <si>
    <t>届け先カナ名</t>
    <phoneticPr fontId="10"/>
  </si>
  <si>
    <t>届け先BPコード</t>
    <phoneticPr fontId="10"/>
  </si>
  <si>
    <t>計画集計対象カナ名</t>
    <phoneticPr fontId="10"/>
  </si>
  <si>
    <t>計画集計対象BPコード</t>
    <phoneticPr fontId="10"/>
  </si>
  <si>
    <t>プロセス</t>
    <phoneticPr fontId="10"/>
  </si>
  <si>
    <t>(1) S/4 から送信対象の出荷伝票や必要な関連情報を抽出する。</t>
  </si>
  <si>
    <t>(2) Cloud Integrationよりフォーマット変換を行う。</t>
    <rPh sb="29" eb="31">
      <t>ヘンカン</t>
    </rPh>
    <rPh sb="32" eb="33">
      <t>オコナ</t>
    </rPh>
    <phoneticPr fontId="10"/>
  </si>
  <si>
    <t>出力ファイルへの項目マッピング</t>
  </si>
  <si>
    <t>出荷伝票ヘッダの仕向国がJPの場合、マッピング定義（国内）の項目マッピング通りに出力する。</t>
  </si>
  <si>
    <t>出荷伝票ヘッダの仕向国がJP以外の場合、マッピング定義（海外）の項目マッピング通りに出力する。</t>
  </si>
  <si>
    <t>1.</t>
  </si>
  <si>
    <t>以下特別な変換が必要となる項目について記載する。</t>
  </si>
  <si>
    <t>コード値ではなく、テキスト（名称など）を出力する際に取得できなかった場合やブランクで返ってきた場合、</t>
  </si>
  <si>
    <t>テキストデータ取得エラーとする。エラーとなった場合、実行単位でエラーとする。</t>
  </si>
  <si>
    <t>但し、エラーとなった場合でも、一度全処理を通し、発生したエラーメッセージ全てと共にエラーファイルとして出力する。</t>
  </si>
  <si>
    <t>※その他必要となるチェックロジックは設計時に追加とする。</t>
  </si>
  <si>
    <t>1.1.</t>
  </si>
  <si>
    <t>受注区分</t>
  </si>
  <si>
    <t>出荷タイプに応じて取得元を変更する。</t>
  </si>
  <si>
    <t>出荷タイプが在庫転送の場合、購買発注伝票の購買発注タイプのテキストを出力する。</t>
  </si>
  <si>
    <t>出荷タイプがそれ以外の場合、受注伝票の受注タイプのテキストを出力する。</t>
  </si>
  <si>
    <t>1.2.</t>
  </si>
  <si>
    <t>受注先名称</t>
  </si>
  <si>
    <t>受注先が現法の場合、略称を出力する。</t>
  </si>
  <si>
    <t>得意先マスタ（一般データ）の項目「取引先コード」に値が入っているかつ仕向国がJP以外の場合、</t>
  </si>
  <si>
    <t>得意先マスタ（一般データ）の項目「検索語句1」の値を受注先名称に格納する。</t>
  </si>
  <si>
    <t>現法以外の場合、名称1および名称2を結合し、出力する。</t>
  </si>
  <si>
    <t>1.3.</t>
  </si>
  <si>
    <t>住所情報の結合</t>
  </si>
  <si>
    <t>以下項目を結合し、項目「届出先住所」に格納する。</t>
  </si>
  <si>
    <t>・市区町村</t>
  </si>
  <si>
    <t>・都道府県</t>
  </si>
  <si>
    <t>・地名2</t>
  </si>
  <si>
    <t>・地名3</t>
  </si>
  <si>
    <t>・地名4</t>
  </si>
  <si>
    <t>・地名5</t>
  </si>
  <si>
    <t>1.4.</t>
  </si>
  <si>
    <t>社外型名の取得</t>
  </si>
  <si>
    <t>追加得意先品目コードを取得できた場合、値を項目「社外型名」に格納する。</t>
  </si>
  <si>
    <t>追加得意先品目コードが無かった場合、製品DB型名を格納する。</t>
  </si>
  <si>
    <t>製品DB型名が無かった場合、明細テキストを格納する。</t>
  </si>
  <si>
    <t>1.5.</t>
  </si>
  <si>
    <t>各種伝票番号</t>
  </si>
  <si>
    <t>出荷伝票・参照伝票番号は明細番号と繋げて出力する。</t>
  </si>
  <si>
    <t>例</t>
  </si>
  <si>
    <t>出荷伝票</t>
  </si>
  <si>
    <t>出荷明細番号</t>
  </si>
  <si>
    <t>800001</t>
  </si>
  <si>
    <t>800001-10</t>
  </si>
  <si>
    <t>1.6.</t>
  </si>
  <si>
    <t>出荷指図のテキスト</t>
  </si>
  <si>
    <t>ヘッダと明細で各々出荷指示のテキストを保持しているが、繋げて項目「摘要欄」として保持する。</t>
  </si>
  <si>
    <t>(3)共有フォルダにファイルを配置する。</t>
  </si>
  <si>
    <t>(4)エラーハンドリング</t>
  </si>
  <si>
    <t>エラーとなったレコードは事業部単位で異なるファイルでエラーファイルとして格納する。</t>
  </si>
  <si>
    <t>チェックエラーとなった場合、実行単位でエラーとする。</t>
  </si>
  <si>
    <t>再実行時には前回抽出時と同様な伝票を指定できること。</t>
  </si>
  <si>
    <t>再実行時にはエラーとなった伝票を指定できること。</t>
  </si>
  <si>
    <t>エラーが発生した場合、業務ユーザ宛にメール通知を出力する。</t>
  </si>
  <si>
    <t>◆電子管出荷Ｇ（27名）　→</t>
  </si>
  <si>
    <t>HPKLDAP-10330all@internal.hpk.co.jp</t>
  </si>
  <si>
    <t>◆固体出荷Ｇ（18名）　→　</t>
  </si>
  <si>
    <t>HPKLDAP-10340all@internal.hpk.co.jp</t>
  </si>
  <si>
    <t>◆システム出荷Ｇ（8名）　→</t>
  </si>
  <si>
    <t>HPKLDAP-10350all@internal.hpk.co.jp</t>
  </si>
  <si>
    <t>◆レーザー出荷Ｇ（5名）　→</t>
  </si>
  <si>
    <t>HPKLDAP-10360all@internal.hpk.co.jp</t>
  </si>
  <si>
    <t>パフォーマンス要件</t>
    <rPh sb="7" eb="9">
      <t>ヨウケン</t>
    </rPh>
    <phoneticPr fontId="10"/>
  </si>
  <si>
    <t>その他補足</t>
    <rPh sb="2" eb="3">
      <t>タ</t>
    </rPh>
    <rPh sb="3" eb="5">
      <t>ホソク</t>
    </rPh>
    <phoneticPr fontId="10"/>
  </si>
  <si>
    <t>マッピング定義 受信側の項目名をヘッダとしてファイル1行目に出力する。</t>
  </si>
  <si>
    <t>出力時全項目をフラットファイルとして出力する（ヘッダ・明細・その他項目を1行で保持する）</t>
  </si>
  <si>
    <t>技術詳細</t>
    <rPh sb="0" eb="2">
      <t>ギジュツ</t>
    </rPh>
    <rPh sb="2" eb="4">
      <t>ショウサイ</t>
    </rPh>
    <phoneticPr fontId="10"/>
  </si>
  <si>
    <t>標準テンプレート</t>
    <rPh sb="0" eb="2">
      <t>ヒョウジュン</t>
    </rPh>
    <phoneticPr fontId="10"/>
  </si>
  <si>
    <t>パッケージ</t>
    <phoneticPr fontId="10"/>
  </si>
  <si>
    <t>Artifacts</t>
  </si>
  <si>
    <t>パラメータ</t>
    <phoneticPr fontId="10"/>
  </si>
  <si>
    <t>起動url</t>
    <phoneticPr fontId="10"/>
  </si>
  <si>
    <t>/039/01</t>
    <phoneticPr fontId="10"/>
  </si>
  <si>
    <t>送信側</t>
  </si>
  <si>
    <t>受信側</t>
  </si>
  <si>
    <t>変換</t>
    <phoneticPr fontId="31"/>
  </si>
  <si>
    <t>備考</t>
    <rPh sb="0" eb="2">
      <t>ビコウ</t>
    </rPh>
    <phoneticPr fontId="31"/>
  </si>
  <si>
    <t>SAPメモ
最終化前に削除</t>
  </si>
  <si>
    <t>No.</t>
  </si>
  <si>
    <t>マスタ/トランザクション
ファイル</t>
    <phoneticPr fontId="31"/>
  </si>
  <si>
    <t>構造
(タブ/カテゴリ)</t>
    <rPh sb="0" eb="2">
      <t>コウゾウ</t>
    </rPh>
    <phoneticPr fontId="31"/>
  </si>
  <si>
    <t>属性</t>
    <rPh sb="0" eb="2">
      <t>ゾクセイ</t>
    </rPh>
    <phoneticPr fontId="31"/>
  </si>
  <si>
    <t>API</t>
    <phoneticPr fontId="10"/>
  </si>
  <si>
    <t>構造
(タブ/カテゴリ)</t>
    <phoneticPr fontId="31"/>
  </si>
  <si>
    <t>変換仕様</t>
  </si>
  <si>
    <t>データサンプル</t>
    <phoneticPr fontId="31"/>
  </si>
  <si>
    <t>必須</t>
    <rPh sb="0" eb="2">
      <t>ヒッス</t>
    </rPh>
    <phoneticPr fontId="10"/>
  </si>
  <si>
    <t>型</t>
    <rPh sb="0" eb="1">
      <t>カタ</t>
    </rPh>
    <phoneticPr fontId="10"/>
  </si>
  <si>
    <t>エンティティ/構造</t>
    <rPh sb="7" eb="9">
      <t>コウゾウ</t>
    </rPh>
    <phoneticPr fontId="10"/>
  </si>
  <si>
    <t>項目名</t>
    <rPh sb="0" eb="3">
      <t>コウモクメイ</t>
    </rPh>
    <phoneticPr fontId="10"/>
  </si>
  <si>
    <t>LIKP</t>
  </si>
  <si>
    <t>ヘッダ</t>
  </si>
  <si>
    <t>CHAR</t>
  </si>
  <si>
    <t>ILEDELIVDOC(I_DeliveryDocument)</t>
    <phoneticPr fontId="10"/>
  </si>
  <si>
    <t>SHIPPINGPOINT</t>
    <phoneticPr fontId="10"/>
  </si>
  <si>
    <t>出荷場所</t>
    <phoneticPr fontId="10"/>
  </si>
  <si>
    <t>-</t>
  </si>
  <si>
    <t>1201</t>
  </si>
  <si>
    <t>LIPS</t>
  </si>
  <si>
    <t>明細/先行データ/受注</t>
  </si>
  <si>
    <t>参照伝票番号</t>
  </si>
  <si>
    <t>ILEDELIVDOCITEM(I_DeliveryDocumentItem)</t>
    <phoneticPr fontId="10"/>
  </si>
  <si>
    <t>REFERENCESDDOCUMENT</t>
    <phoneticPr fontId="10"/>
  </si>
  <si>
    <t>受注No.</t>
  </si>
  <si>
    <t>項目結合</t>
  </si>
  <si>
    <t>10000000-10</t>
  </si>
  <si>
    <t>参照伝票番号、ハイフン、明細番号を繋げる</t>
  </si>
  <si>
    <t>参照明細番号</t>
  </si>
  <si>
    <t>REFERENCESDDOCUMENTITEM</t>
    <phoneticPr fontId="10"/>
  </si>
  <si>
    <t>出荷伝票番号</t>
  </si>
  <si>
    <t>DELIVERYDOCUMENT</t>
    <phoneticPr fontId="10"/>
  </si>
  <si>
    <t>出荷No.</t>
  </si>
  <si>
    <t>80001060-10</t>
  </si>
  <si>
    <t>出荷伝票番号、ハイフン、明細番号を繋げる</t>
  </si>
  <si>
    <t>DELIVERYDOCUMENTITEM</t>
    <phoneticPr fontId="10"/>
  </si>
  <si>
    <t>受注伝票</t>
  </si>
  <si>
    <t>TVAKT</t>
  </si>
  <si>
    <t>伝票タイプテキスト</t>
  </si>
  <si>
    <t>ISDSALESDOCTYPET(I_SalesDocumentTypeText)</t>
    <phoneticPr fontId="10"/>
  </si>
  <si>
    <t>SALESDOCUMENTTYPENAME</t>
    <phoneticPr fontId="10"/>
  </si>
  <si>
    <t>受注方法</t>
  </si>
  <si>
    <t>有</t>
  </si>
  <si>
    <t>標準受注</t>
  </si>
  <si>
    <t>コード値ではなく、テキスト
出荷タイプが在庫転送以外の場合、当項目を出力する。</t>
  </si>
  <si>
    <t>購買発注</t>
  </si>
  <si>
    <t>T024</t>
  </si>
  <si>
    <t>IMMPURGDOCTYPTXT(I_PurchasingDocumentTypeText)</t>
    <phoneticPr fontId="10"/>
  </si>
  <si>
    <t>PURCHASINGDOCUMENTTYPENAME</t>
    <phoneticPr fontId="10"/>
  </si>
  <si>
    <t>プラント間在庫転送</t>
  </si>
  <si>
    <t>コード値ではなく、テキスト
出荷タイプが在庫転送の場合、当項目を出力する。</t>
  </si>
  <si>
    <t>LIKP</t>
    <phoneticPr fontId="10"/>
  </si>
  <si>
    <t>ヘッダ/パートナ/受注先</t>
  </si>
  <si>
    <t>受注先</t>
  </si>
  <si>
    <t>SOLDTOPARTY</t>
    <phoneticPr fontId="10"/>
  </si>
  <si>
    <t>受注先コード</t>
  </si>
  <si>
    <t>1000000001</t>
  </si>
  <si>
    <t>ADRC</t>
  </si>
  <si>
    <t>名称1</t>
  </si>
  <si>
    <t>受注先会社名</t>
  </si>
  <si>
    <t>HAMAMATSU CORPORATION</t>
  </si>
  <si>
    <r>
      <rPr>
        <sz val="9"/>
        <color rgb="FF000000"/>
        <rFont val="メイリオ"/>
        <family val="3"/>
        <charset val="128"/>
      </rPr>
      <t>現法以外の場合、名称1,名称2を結合する。
現法の場合、略称とするため検索語句 1から取得する。</t>
    </r>
  </si>
  <si>
    <t>ヘッダ/パートナ/受注先</t>
    <rPh sb="9" eb="12">
      <t>ジュチュウサキ</t>
    </rPh>
    <phoneticPr fontId="10"/>
  </si>
  <si>
    <t>名称2</t>
  </si>
  <si>
    <t>得意先マスタ</t>
  </si>
  <si>
    <t>BUT000</t>
  </si>
  <si>
    <t>得意先（一般）</t>
  </si>
  <si>
    <t>検索語句 1</t>
  </si>
  <si>
    <t>HC</t>
  </si>
  <si>
    <t>現法の場合、略称とする際の取得元項目。</t>
  </si>
  <si>
    <t>ヘッダ/パートナ/計画集計対象</t>
  </si>
  <si>
    <t>ユーザ会社名</t>
  </si>
  <si>
    <t>ヘッダ/パートナ/出荷先</t>
  </si>
  <si>
    <t>届出先会社名</t>
  </si>
  <si>
    <t>得意先（一般）</t>
    <phoneticPr fontId="10"/>
  </si>
  <si>
    <t>明細/シップメント/シップメント</t>
  </si>
  <si>
    <t>インコタームズ</t>
    <phoneticPr fontId="10"/>
  </si>
  <si>
    <t>インコタームズ</t>
  </si>
  <si>
    <t>CIP</t>
  </si>
  <si>
    <t>VBAP</t>
    <phoneticPr fontId="10"/>
  </si>
  <si>
    <t>ヘッダ/発注データ/受注先</t>
  </si>
  <si>
    <t>得意先参照</t>
  </si>
  <si>
    <t>CSDSLSDOCITMDX1(C_SalesDocumentItemDEX_1)</t>
    <phoneticPr fontId="10"/>
  </si>
  <si>
    <t>PURCHASEORDERBYCUSTOMER</t>
    <phoneticPr fontId="10"/>
  </si>
  <si>
    <t>注文番号</t>
  </si>
  <si>
    <t>4512323644</t>
  </si>
  <si>
    <t>出荷タイプが在庫転送の場合、不要</t>
  </si>
  <si>
    <t>品目マスタ</t>
  </si>
  <si>
    <t>MARA</t>
  </si>
  <si>
    <t>基本データ</t>
  </si>
  <si>
    <t>責任原価センタ（製造）</t>
    <phoneticPr fontId="10"/>
  </si>
  <si>
    <t>IPRODUCT(I_Product)</t>
    <phoneticPr fontId="10"/>
  </si>
  <si>
    <t>経費コード</t>
  </si>
  <si>
    <t>1000010000</t>
  </si>
  <si>
    <t>明細/品目</t>
  </si>
  <si>
    <t>明細テキスト</t>
  </si>
  <si>
    <t>DELIVERYDOCUMENTITEMTEXT</t>
    <phoneticPr fontId="10"/>
  </si>
  <si>
    <t>社内型名</t>
  </si>
  <si>
    <t>L9181-05/Ver01</t>
  </si>
  <si>
    <t>得意先品目情報</t>
  </si>
  <si>
    <t>KNMTA</t>
  </si>
  <si>
    <t>得意先品目/追加得意先品目</t>
  </si>
  <si>
    <t>追加得意先品目コード</t>
  </si>
  <si>
    <t>KNMT_KNMTA(新規CDS（Z*）)</t>
    <phoneticPr fontId="10"/>
  </si>
  <si>
    <t>社外型名</t>
  </si>
  <si>
    <t>L9100</t>
  </si>
  <si>
    <t>追加得意先品目コードが無かった場合、製品DB型名を格納する。
製品DB型名が無かった場合、明細テキストを格納する。</t>
  </si>
  <si>
    <t>拡張項目</t>
  </si>
  <si>
    <t>製品DB型名</t>
  </si>
  <si>
    <t>明細/ピッキング</t>
  </si>
  <si>
    <t>出荷数量</t>
  </si>
  <si>
    <t>QUAN</t>
  </si>
  <si>
    <t>ACTUALDELIVERYQUANTITY</t>
    <phoneticPr fontId="10"/>
  </si>
  <si>
    <t>数量</t>
  </si>
  <si>
    <t>10.000</t>
  </si>
  <si>
    <t>TVM1T</t>
    <phoneticPr fontId="10"/>
  </si>
  <si>
    <t>品目Grp1</t>
  </si>
  <si>
    <t>ISDADDLMATLGRP1T(I_AdditionalMaterialGroup1Text)</t>
    <phoneticPr fontId="10"/>
  </si>
  <si>
    <t>ADDITIONALMATERIALGROUP1NAME</t>
    <phoneticPr fontId="10"/>
  </si>
  <si>
    <t>該非-輸出令</t>
  </si>
  <si>
    <t>該当</t>
  </si>
  <si>
    <t>コード値ではなく、テキスト</t>
  </si>
  <si>
    <t>ヘッダ/処理</t>
  </si>
  <si>
    <t>DATS</t>
  </si>
  <si>
    <t>PLANNEDGOODSISSUEDATE</t>
    <phoneticPr fontId="10"/>
  </si>
  <si>
    <t>出荷日</t>
  </si>
  <si>
    <t>2025.06.17</t>
  </si>
  <si>
    <t>STXH</t>
  </si>
  <si>
    <t>ヘッダ/テキスト</t>
  </si>
  <si>
    <t>ロングテキスト-出荷指図</t>
  </si>
  <si>
    <t>摘要欄</t>
  </si>
  <si>
    <t>INVOICE P/L作成</t>
  </si>
  <si>
    <t>20260218 項目結合削除</t>
  </si>
  <si>
    <t>明細/テキスト</t>
  </si>
  <si>
    <t>納品書同梱</t>
  </si>
  <si>
    <t>ロングテキスト-規制関連情報</t>
  </si>
  <si>
    <t>規制関連情報</t>
  </si>
  <si>
    <t>HG MG &lt;0.1 wt%
WEEE</t>
  </si>
  <si>
    <t>ADRP</t>
  </si>
  <si>
    <t>ヘッダ/受注管理</t>
  </si>
  <si>
    <t>姓</t>
  </si>
  <si>
    <t>Success FactorsのPerPersonalというAPIから取得し、DSPのローカルテーブルに格納するから取得予定(IF039)</t>
    <rPh sb="52" eb="54">
      <t>カクノウ</t>
    </rPh>
    <rPh sb="58" eb="60">
      <t>シュトク</t>
    </rPh>
    <rPh sb="60" eb="62">
      <t>ヨテイ</t>
    </rPh>
    <phoneticPr fontId="10"/>
  </si>
  <si>
    <t>受注伝票発行者</t>
  </si>
  <si>
    <t>草野 大輝</t>
  </si>
  <si>
    <t>コード値ではなく、テキスト
出荷タイプが在庫転送以外の場合、当項目を出力する。
姓と名の間に半角スペースを入力し、項目結合する。</t>
  </si>
  <si>
    <t>名</t>
  </si>
  <si>
    <t>在庫転送</t>
  </si>
  <si>
    <t>購買グループテキスト</t>
  </si>
  <si>
    <t>IMMPURCHGROUP(I_PURCHASINGGROUP)</t>
    <phoneticPr fontId="10"/>
  </si>
  <si>
    <t>PURCHASINGGROUPNAME</t>
    <phoneticPr fontId="10"/>
  </si>
  <si>
    <t>電子管（自動）</t>
  </si>
  <si>
    <t>以下チェックロジックおよび項目取得用</t>
  </si>
  <si>
    <t>明細カテゴリ</t>
  </si>
  <si>
    <t>DELIVERYDOCUMENTITEMCATEGORY</t>
    <phoneticPr fontId="10"/>
  </si>
  <si>
    <t>明細カテゴリが「BOM子」の場合、対象の出荷明細は処理対象外とする。
明細カテゴリが「非在庫品」の場合、品目グループを確認する。</t>
  </si>
  <si>
    <t>ヘッダ/管理</t>
  </si>
  <si>
    <t>出荷ブロック</t>
  </si>
  <si>
    <t>DELIVERYBLOCKREASON</t>
  </si>
  <si>
    <t>出荷審査完了済みの明細は処理対象外とする。</t>
  </si>
  <si>
    <t>品目グループ</t>
  </si>
  <si>
    <t>PRODUCTGROUP</t>
  </si>
  <si>
    <t>「サービス品」または「移転価格」の場合、対象の出荷明細は処理対象外とする。</t>
  </si>
  <si>
    <t>VBPA</t>
  </si>
  <si>
    <t>取引先機能</t>
  </si>
  <si>
    <t>国/地域</t>
  </si>
  <si>
    <t>US_FRGNACCTTAXRCPNTCNTRY</t>
  </si>
  <si>
    <t>取引先コードに値があった場合、かつ出荷先の仕向国がJP以外だった場合、受注先・出荷先・計画集計対象の名称を検索語句 1から取得する。</t>
  </si>
  <si>
    <t>得意先（一般）/制御データ</t>
  </si>
  <si>
    <t>取引先コード</t>
  </si>
  <si>
    <t>CUSTOMER</t>
  </si>
  <si>
    <t>プラント</t>
    <phoneticPr fontId="10"/>
  </si>
  <si>
    <t>RECEIVINGPLANT</t>
  </si>
  <si>
    <t>出荷ポイント毎にファイルを分けるために使用する。</t>
  </si>
  <si>
    <t>DELIVERYDOCUMENTTYPE</t>
  </si>
  <si>
    <t>在庫転送の場合、在庫転送以外の場合で出力項目を振り分けるために使用する。</t>
  </si>
  <si>
    <t>VBAK</t>
  </si>
  <si>
    <t>SALESDOCUMENTTYPE</t>
  </si>
  <si>
    <t>コード値ではなく、テキストを出力するため、参照伝票番号を基に受注伝票データを参照し、テキストを取得する。
出荷タイプが在庫転送以外の場合、当項目を出力する。</t>
  </si>
  <si>
    <t>EKKO</t>
  </si>
  <si>
    <t>CMMPOITMDX(C_PURCHASEORDERITEMDEX)</t>
    <phoneticPr fontId="10"/>
  </si>
  <si>
    <t>PURCHASEORDERTYPE</t>
  </si>
  <si>
    <t>コード値ではなく、テキストを取得するため、参照伝票番号を基に発注伝票データを参照し、テキストを取得する。
出荷タイプが在庫転送の場合、当項目を出力する。</t>
  </si>
  <si>
    <t>ADDITIONALMATERIALGROUP1</t>
  </si>
  <si>
    <t>登録者</t>
  </si>
  <si>
    <t>コード値ではなく、テキスト
出荷タイプが在庫転送以外の場合、当項目を出力する。
VBAK-ERNAMを取得し、USR21-BNAMEの検索条件とする。USR21-ADDRNUMBERを取得し、ADRP-PERSNUMBERの検索条件とする。取得できたNAME_LASTとNAME_FIRSTを格納する。</t>
  </si>
  <si>
    <t>USR21</t>
  </si>
  <si>
    <t>Addr番号</t>
  </si>
  <si>
    <t>購買グループ</t>
  </si>
  <si>
    <t>PURCHASINGGROUP</t>
  </si>
  <si>
    <t>コード値ではなく、テキスト
出荷タイプが在庫転送の場合、当項目を出力する。
購買グループのテキストを取得するために使用する。</t>
  </si>
  <si>
    <t>プロセスフロー</t>
  </si>
  <si>
    <t>凡例</t>
  </si>
  <si>
    <t>ファイル</t>
  </si>
  <si>
    <t>DB・MQ</t>
  </si>
  <si>
    <t>システム</t>
  </si>
  <si>
    <t>ステップ</t>
  </si>
  <si>
    <t>Split</t>
  </si>
  <si>
    <t>メール</t>
  </si>
  <si>
    <t>DataStore</t>
  </si>
  <si>
    <t>API</t>
  </si>
  <si>
    <t>Event</t>
  </si>
  <si>
    <t>ステップ定義</t>
    <rPh sb="4" eb="6">
      <t>テイギ</t>
    </rPh>
    <phoneticPr fontId="10"/>
  </si>
  <si>
    <t>No</t>
    <phoneticPr fontId="15"/>
  </si>
  <si>
    <t>ステップ名</t>
    <rPh sb="4" eb="5">
      <t>メイ</t>
    </rPh>
    <phoneticPr fontId="15"/>
  </si>
  <si>
    <t>ステップタイプ</t>
    <phoneticPr fontId="10"/>
  </si>
  <si>
    <t>処理内容</t>
  </si>
  <si>
    <t>エラー処理</t>
  </si>
  <si>
    <t>参照</t>
  </si>
  <si>
    <t>備考</t>
    <rPh sb="0" eb="2">
      <t>ビコウ</t>
    </rPh>
    <phoneticPr fontId="15"/>
  </si>
  <si>
    <t>1</t>
    <phoneticPr fontId="15"/>
  </si>
  <si>
    <t>JP1起動</t>
  </si>
  <si>
    <t>SenderAdapter</t>
  </si>
  <si>
    <t>JP1からジョブネットから日次で実行される。
URLパスは以下の通りに設定する。
/039/01
※SenderのHTTP Adapterの設定にて、CSRF Protectedを設定
※共通処理CheckOAuth処理で認証が満たされない場合、Basic認証はエラーとする。</t>
    <phoneticPr fontId="39" type="noConversion"/>
  </si>
  <si>
    <t>2</t>
    <phoneticPr fontId="39" type="noConversion"/>
  </si>
  <si>
    <t>VMからパラメータ取得</t>
  </si>
  <si>
    <t>その他プロセス処理</t>
  </si>
  <si>
    <t>エラーが発生した場合、Payloadを出力してエラーで処理を終了する。
エラー発生時のメールでシステム管理者に通知する。
※シート：IF定義の(4)エラーハンドリングをご参照</t>
    <phoneticPr fontId="10"/>
  </si>
  <si>
    <t>ReceiverAdapter</t>
  </si>
  <si>
    <t>判定処理</t>
    <rPh sb="0" eb="4">
      <t>ﾊﾝﾃｲｼｮﾘ</t>
    </rPh>
    <phoneticPr fontId="39" type="noConversion"/>
  </si>
  <si>
    <t>分岐</t>
    <rPh sb="0" eb="2">
      <t>ブンキ</t>
    </rPh>
    <phoneticPr fontId="10"/>
  </si>
  <si>
    <t>差分データ保存</t>
    <rPh sb="5" eb="7">
      <t>ﾎｿﾞﾝ</t>
    </rPh>
    <phoneticPr fontId="39" type="noConversion"/>
  </si>
  <si>
    <t xml:space="preserve">タイムスタンプ情報を保存し、Variableに追加する。
①前回実行日時をWrite Variableの今回実行日時で保存する。
Lvari_LastRunTimestamp(前回実行日時)
=Prop_NowRunTimestamp(今回実行日時)
②夜間実施フラグをクリアする。
</t>
    <rPh sb="7" eb="9">
      <t>ｼﾞｮｳﾎｳ</t>
    </rPh>
    <rPh sb="10" eb="12">
      <t>ﾎｿﾞﾝ</t>
    </rPh>
    <phoneticPr fontId="39" type="noConversion"/>
  </si>
  <si>
    <t>終了処理</t>
    <rPh sb="0" eb="2">
      <t>シュウリョウ</t>
    </rPh>
    <rPh sb="2" eb="4">
      <t>ショリ</t>
    </rPh>
    <phoneticPr fontId="10"/>
  </si>
  <si>
    <t>エラーせず、処理終了</t>
    <rPh sb="6" eb="8">
      <t>ショリ</t>
    </rPh>
    <rPh sb="8" eb="10">
      <t>シュウリョウ</t>
    </rPh>
    <phoneticPr fontId="10"/>
  </si>
  <si>
    <t>End Message</t>
    <phoneticPr fontId="10"/>
  </si>
  <si>
    <t>5</t>
    <phoneticPr fontId="39" type="noConversion"/>
  </si>
  <si>
    <t xml:space="preserve">DB定義(02)
</t>
    <phoneticPr fontId="39" type="noConversion"/>
  </si>
  <si>
    <t>ヘッダテキスト
明細テキスト
DB定義(03)</t>
    <phoneticPr fontId="39" type="noConversion"/>
  </si>
  <si>
    <t>マッピング</t>
  </si>
  <si>
    <t>✓</t>
  </si>
  <si>
    <t>7</t>
    <phoneticPr fontId="39" type="noConversion"/>
  </si>
  <si>
    <t>情報加工</t>
    <rPh sb="0" eb="4">
      <t>ジョウホウカコウ</t>
    </rPh>
    <phoneticPr fontId="10"/>
  </si>
  <si>
    <t>Groovy Script</t>
    <phoneticPr fontId="10"/>
  </si>
  <si>
    <r>
      <rPr>
        <b/>
        <sz val="11"/>
        <rFont val="Meiryo UI"/>
        <family val="3"/>
        <charset val="128"/>
      </rPr>
      <t>通常データまたは遅延データより下記の処理を行う</t>
    </r>
    <r>
      <rPr>
        <sz val="11"/>
        <rFont val="Meiryo UI"/>
        <family val="3"/>
        <charset val="128"/>
      </rPr>
      <t xml:space="preserve">
IF定義の受信要件の海外ソート項目を参照し、降順でソートする。
受注先※出力ファイルを分けるため用
出荷ポイント
出庫日
伝票タイプ
海外発送依頼/有償材料支給/無償材料支給はファイルの最後に出力する
届け先カナ名
届け先BPコード
※カナ名については得意先マスタ「検索語句1」を使用するため、記号、英数字、アルファベット順、ひらがな、カナ、漢字の降順でソートする。
プラント（事業部）※出力ファイルを分けるため用
</t>
    </r>
    <phoneticPr fontId="10"/>
  </si>
  <si>
    <t>Groovy Script
例：取得のデータおり伝票タイプの順は下記の場合
無償材料支給が1~5番、海外発送依頼が6~10番、有償材料支給が11~20番、無償出荷が21~30番、標準出荷が31~40番で登録されていたとします。以下の通り出力していただきたいです。
ファイルの出力の時、下記の順で対応すること。
海外発送依頼/有償材料支給/無償材料支給の伝票タイプは最後の順になります。
①31~40番 標準出荷
②21~30番 無償出荷
③1~10番 海外発送依頼
④11~20番 有償材料支給
⑤1~5番 無償材料支給</t>
    <phoneticPr fontId="10"/>
  </si>
  <si>
    <t>9</t>
    <phoneticPr fontId="39" type="noConversion"/>
  </si>
  <si>
    <t>データを分ける処理</t>
    <rPh sb="4" eb="5">
      <t>ﾜ</t>
    </rPh>
    <rPh sb="7" eb="9">
      <t>ｼｮﾘ</t>
    </rPh>
    <phoneticPr fontId="39" type="noConversion"/>
  </si>
  <si>
    <t>10</t>
    <phoneticPr fontId="39" type="noConversion"/>
  </si>
  <si>
    <t>11</t>
    <phoneticPr fontId="39" type="noConversion"/>
  </si>
  <si>
    <t>12-1</t>
    <phoneticPr fontId="39" type="noConversion"/>
  </si>
  <si>
    <t>12-2</t>
    <phoneticPr fontId="39" type="noConversion"/>
  </si>
  <si>
    <t>13</t>
    <phoneticPr fontId="39" type="noConversion"/>
  </si>
  <si>
    <t xml:space="preserve">File定義
</t>
    <phoneticPr fontId="10"/>
  </si>
  <si>
    <t>Content Modifier</t>
    <phoneticPr fontId="10"/>
  </si>
  <si>
    <t>14</t>
    <phoneticPr fontId="39" type="noConversion"/>
  </si>
  <si>
    <t>15</t>
    <phoneticPr fontId="39" type="noConversion"/>
  </si>
  <si>
    <t>17</t>
    <phoneticPr fontId="39" type="noConversion"/>
  </si>
  <si>
    <t>その他プロセス処理</t>
    <phoneticPr fontId="10"/>
  </si>
  <si>
    <t>DB定義</t>
  </si>
  <si>
    <t>No</t>
    <phoneticPr fontId="10"/>
  </si>
  <si>
    <t>方式</t>
  </si>
  <si>
    <t>テーブル名</t>
  </si>
  <si>
    <t>処理概要</t>
  </si>
  <si>
    <t>その他仕様</t>
  </si>
  <si>
    <t>01</t>
  </si>
  <si>
    <t>読込</t>
  </si>
  <si>
    <t>HPK_Datasphere_XXX</t>
  </si>
  <si>
    <t>02</t>
    <phoneticPr fontId="10"/>
  </si>
  <si>
    <t>読込</t>
    <phoneticPr fontId="10"/>
  </si>
  <si>
    <t>参考イメージ：select~for all enters in table</t>
    <rPh sb="0" eb="2">
      <t>サンコウ</t>
    </rPh>
    <phoneticPr fontId="10"/>
  </si>
  <si>
    <t>03</t>
    <phoneticPr fontId="10"/>
  </si>
  <si>
    <t>04</t>
  </si>
  <si>
    <t>その他</t>
  </si>
  <si>
    <t>05</t>
  </si>
  <si>
    <t>06</t>
  </si>
  <si>
    <t>パラメータ</t>
  </si>
  <si>
    <t>パラメータ名</t>
  </si>
  <si>
    <t>デフォルト値</t>
  </si>
  <si>
    <t>説明</t>
  </si>
  <si>
    <t>再実行用フラグ</t>
    <rPh sb="0" eb="3">
      <t>サイジッコウ</t>
    </rPh>
    <rPh sb="3" eb="4">
      <t>ヨウ</t>
    </rPh>
    <phoneticPr fontId="10"/>
  </si>
  <si>
    <t>差分データを取得することを避けるため、再実行用とする。</t>
    <rPh sb="0" eb="2">
      <t>サブン</t>
    </rPh>
    <rPh sb="6" eb="8">
      <t>シュトク</t>
    </rPh>
    <rPh sb="13" eb="14">
      <t>サ</t>
    </rPh>
    <rPh sb="19" eb="22">
      <t>サイジッコウ</t>
    </rPh>
    <rPh sb="22" eb="23">
      <t>ヨウ</t>
    </rPh>
    <phoneticPr fontId="10"/>
  </si>
  <si>
    <t>02</t>
  </si>
  <si>
    <t>03</t>
  </si>
  <si>
    <t>07</t>
  </si>
  <si>
    <t>08</t>
  </si>
  <si>
    <t>09</t>
  </si>
  <si>
    <t>File定義</t>
  </si>
  <si>
    <t>ファイル名</t>
  </si>
  <si>
    <t>ファイルパス</t>
  </si>
  <si>
    <t>ファイル形式</t>
  </si>
  <si>
    <t>プロトコル</t>
  </si>
  <si>
    <t>文字コード</t>
  </si>
  <si>
    <t>その他ファイル仕様</t>
  </si>
  <si>
    <t>書込</t>
  </si>
  <si>
    <t>CSV</t>
  </si>
  <si>
    <t>SFTP</t>
  </si>
  <si>
    <t>Shift-JIS</t>
    <phoneticPr fontId="10"/>
  </si>
  <si>
    <t>正常処理済用
カンマ「,」区切りテキストファイル</t>
    <phoneticPr fontId="10"/>
  </si>
  <si>
    <t>SFTP</t>
    <phoneticPr fontId="10"/>
  </si>
  <si>
    <t>エラー格納用
カンマ「,」区切りテキストファイル</t>
    <phoneticPr fontId="10"/>
  </si>
  <si>
    <t>11</t>
  </si>
  <si>
    <t>12</t>
  </si>
  <si>
    <t>13</t>
  </si>
  <si>
    <t>14</t>
  </si>
  <si>
    <t>15</t>
  </si>
  <si>
    <t>16</t>
  </si>
  <si>
    <t>17</t>
  </si>
  <si>
    <t>18</t>
  </si>
  <si>
    <t>19</t>
  </si>
  <si>
    <t>20</t>
  </si>
  <si>
    <t>21</t>
  </si>
  <si>
    <t>22</t>
  </si>
  <si>
    <t>23</t>
  </si>
  <si>
    <t>24</t>
  </si>
  <si>
    <t>業務分類</t>
    <rPh sb="0" eb="4">
      <t>ギョウムブンルイ</t>
    </rPh>
    <phoneticPr fontId="31"/>
  </si>
  <si>
    <t>データ種類</t>
    <rPh sb="3" eb="5">
      <t>シュルイ</t>
    </rPh>
    <phoneticPr fontId="28"/>
  </si>
  <si>
    <t>ASIS/新</t>
    <rPh sb="5" eb="6">
      <t>シン</t>
    </rPh>
    <phoneticPr fontId="28"/>
  </si>
  <si>
    <t>通信プロトコル</t>
    <rPh sb="0" eb="2">
      <t>ツウシン</t>
    </rPh>
    <phoneticPr fontId="28"/>
  </si>
  <si>
    <t>起動方法</t>
    <rPh sb="0" eb="4">
      <t>キドウホウホウ</t>
    </rPh>
    <phoneticPr fontId="31"/>
  </si>
  <si>
    <t>実行サイクル</t>
    <rPh sb="0" eb="2">
      <t>ジッコウ</t>
    </rPh>
    <phoneticPr fontId="31"/>
  </si>
  <si>
    <t>全件/差分</t>
    <rPh sb="0" eb="2">
      <t>ゼンケン</t>
    </rPh>
    <rPh sb="3" eb="5">
      <t>サブン</t>
    </rPh>
    <phoneticPr fontId="31"/>
  </si>
  <si>
    <t>ステップタイプ</t>
  </si>
  <si>
    <t>ファイル方式</t>
  </si>
  <si>
    <t>方式(API/DB)</t>
  </si>
  <si>
    <t>Eventタイプ</t>
  </si>
  <si>
    <t>APIタイプ</t>
  </si>
  <si>
    <t>製造</t>
    <rPh sb="0" eb="2">
      <t>セイゾウ</t>
    </rPh>
    <phoneticPr fontId="28"/>
  </si>
  <si>
    <t>マスタ</t>
    <phoneticPr fontId="28"/>
  </si>
  <si>
    <t>ASIS</t>
    <phoneticPr fontId="28"/>
  </si>
  <si>
    <t>ファイル</t>
    <phoneticPr fontId="28"/>
  </si>
  <si>
    <t>発生ベース</t>
    <rPh sb="0" eb="2">
      <t>ハッセイ</t>
    </rPh>
    <phoneticPr fontId="28"/>
  </si>
  <si>
    <t>全件</t>
    <rPh sb="0" eb="2">
      <t>ゼ</t>
    </rPh>
    <phoneticPr fontId="10"/>
  </si>
  <si>
    <t>FTP(Passive)</t>
  </si>
  <si>
    <t>S/4標準</t>
  </si>
  <si>
    <t>OdataV4</t>
  </si>
  <si>
    <t>販売</t>
    <rPh sb="0" eb="2">
      <t>ハンバイ</t>
    </rPh>
    <phoneticPr fontId="28"/>
  </si>
  <si>
    <t>トランザクション</t>
    <phoneticPr fontId="28"/>
  </si>
  <si>
    <t>新規</t>
    <rPh sb="0" eb="2">
      <t>シンキ</t>
    </rPh>
    <phoneticPr fontId="28"/>
  </si>
  <si>
    <t>HTTP(RestfulAPI)</t>
    <phoneticPr fontId="28"/>
  </si>
  <si>
    <t>マニュアル</t>
    <phoneticPr fontId="28"/>
  </si>
  <si>
    <t>毎時</t>
    <phoneticPr fontId="28"/>
  </si>
  <si>
    <t>差分</t>
    <rPh sb="0" eb="2">
      <t>サブン</t>
    </rPh>
    <phoneticPr fontId="10"/>
  </si>
  <si>
    <t>TSV</t>
  </si>
  <si>
    <t>登録</t>
  </si>
  <si>
    <t>カスタム</t>
  </si>
  <si>
    <t>OdataV2</t>
  </si>
  <si>
    <t>購買</t>
    <rPh sb="0" eb="2">
      <t>コウバイ</t>
    </rPh>
    <phoneticPr fontId="28"/>
  </si>
  <si>
    <t>HTTP(OData)</t>
    <phoneticPr fontId="28"/>
  </si>
  <si>
    <t>イベント</t>
    <phoneticPr fontId="28"/>
  </si>
  <si>
    <t>毎分</t>
    <rPh sb="0" eb="2">
      <t>マイフン</t>
    </rPh>
    <phoneticPr fontId="10"/>
  </si>
  <si>
    <t>分岐</t>
  </si>
  <si>
    <t>固定長</t>
  </si>
  <si>
    <t>削除</t>
  </si>
  <si>
    <t>変更</t>
  </si>
  <si>
    <t>SOAP</t>
  </si>
  <si>
    <t>財務会計</t>
    <rPh sb="0" eb="2">
      <t>ザイム</t>
    </rPh>
    <rPh sb="2" eb="4">
      <t>カイケイ</t>
    </rPh>
    <phoneticPr fontId="28"/>
  </si>
  <si>
    <t>RFC</t>
    <phoneticPr fontId="28"/>
  </si>
  <si>
    <t>日次</t>
  </si>
  <si>
    <t>XML</t>
  </si>
  <si>
    <t>BAPI</t>
  </si>
  <si>
    <t>固定資産</t>
    <rPh sb="0" eb="4">
      <t>コテイシサン</t>
    </rPh>
    <phoneticPr fontId="28"/>
  </si>
  <si>
    <t>DB接続</t>
    <rPh sb="2" eb="4">
      <t>セツゾク</t>
    </rPh>
    <phoneticPr fontId="28"/>
  </si>
  <si>
    <t>週次</t>
  </si>
  <si>
    <t>JSON</t>
  </si>
  <si>
    <t>Timer</t>
  </si>
  <si>
    <t>RestfulAPI</t>
  </si>
  <si>
    <t>管理会計</t>
    <rPh sb="0" eb="4">
      <t>カンリカイケイ</t>
    </rPh>
    <phoneticPr fontId="28"/>
  </si>
  <si>
    <t>メール</t>
    <phoneticPr fontId="28"/>
  </si>
  <si>
    <t>月次</t>
  </si>
  <si>
    <t>フィルタ</t>
  </si>
  <si>
    <t>IDOC</t>
  </si>
  <si>
    <t>人事</t>
    <rPh sb="0" eb="2">
      <t>ジンジ</t>
    </rPh>
    <phoneticPr fontId="28"/>
  </si>
  <si>
    <t>SOAP</t>
    <phoneticPr fontId="10"/>
  </si>
  <si>
    <t>四半期</t>
  </si>
  <si>
    <t>物流</t>
    <rPh sb="0" eb="2">
      <t>ブツリュウ</t>
    </rPh>
    <phoneticPr fontId="28"/>
  </si>
  <si>
    <t>IDOC</t>
    <phoneticPr fontId="10"/>
  </si>
  <si>
    <t>半年毎</t>
  </si>
  <si>
    <t>年次</t>
  </si>
  <si>
    <t>DCTIF007</t>
    <phoneticPr fontId="10"/>
  </si>
  <si>
    <t>送信側システム</t>
    <rPh sb="0" eb="2">
      <t>ソウシン</t>
    </rPh>
    <rPh sb="2" eb="3">
      <t>ガワ</t>
    </rPh>
    <phoneticPr fontId="10"/>
  </si>
  <si>
    <t>担当者</t>
    <rPh sb="0" eb="3">
      <t>タントウシャ</t>
    </rPh>
    <phoneticPr fontId="10"/>
  </si>
  <si>
    <t>インタフェース名</t>
    <rPh sb="7" eb="8">
      <t>メイ</t>
    </rPh>
    <phoneticPr fontId="10"/>
  </si>
  <si>
    <t>伝票明細</t>
    <rPh sb="0" eb="2">
      <t>デンピョウ</t>
    </rPh>
    <rPh sb="2" eb="4">
      <t>メイサイ</t>
    </rPh>
    <phoneticPr fontId="10"/>
  </si>
  <si>
    <t>受信側システム</t>
    <rPh sb="0" eb="2">
      <t>ジュシン</t>
    </rPh>
    <rPh sb="2" eb="3">
      <t>ガワ</t>
    </rPh>
    <phoneticPr fontId="10"/>
  </si>
  <si>
    <t>HAISHAくん（集中配車システム）</t>
    <rPh sb="9" eb="11">
      <t>シュウチュウ</t>
    </rPh>
    <rPh sb="11" eb="13">
      <t>ハイシャ</t>
    </rPh>
    <phoneticPr fontId="10"/>
  </si>
  <si>
    <t>Parent Structure</t>
    <phoneticPr fontId="0"/>
  </si>
  <si>
    <t>項目名</t>
    <rPh sb="0" eb="3">
      <t>コウモクメイ</t>
    </rPh>
    <phoneticPr fontId="0"/>
  </si>
  <si>
    <t>項目ID</t>
    <rPh sb="0" eb="2">
      <t>コウモク</t>
    </rPh>
    <phoneticPr fontId="10"/>
  </si>
  <si>
    <t>型</t>
    <rPh sb="0" eb="1">
      <t>カタ</t>
    </rPh>
    <phoneticPr fontId="0"/>
  </si>
  <si>
    <t>サイズ</t>
  </si>
  <si>
    <t>キー</t>
    <phoneticPr fontId="0"/>
  </si>
  <si>
    <t>必須</t>
    <rPh sb="0" eb="2">
      <t>ヒッス</t>
    </rPh>
    <phoneticPr fontId="0"/>
  </si>
  <si>
    <t>項目説明</t>
    <rPh sb="0" eb="2">
      <t>コウモク</t>
    </rPh>
    <phoneticPr fontId="0"/>
  </si>
  <si>
    <t>書式</t>
    <rPh sb="0" eb="2">
      <t>ショシキ</t>
    </rPh>
    <phoneticPr fontId="0"/>
  </si>
  <si>
    <t>設定値</t>
    <rPh sb="0" eb="2">
      <t>セッテイ</t>
    </rPh>
    <rPh sb="2" eb="3">
      <t>アタイ</t>
    </rPh>
    <phoneticPr fontId="0"/>
  </si>
  <si>
    <t>備考</t>
    <rPh sb="0" eb="2">
      <t>ビコウ</t>
    </rPh>
    <phoneticPr fontId="0"/>
  </si>
  <si>
    <t>IFマッピング情報</t>
    <rPh sb="7" eb="9">
      <t>ジョウホウ</t>
    </rPh>
    <phoneticPr fontId="0"/>
  </si>
  <si>
    <t>トランザクションマッピング情報</t>
    <rPh sb="13" eb="15">
      <t>ジョウホウ</t>
    </rPh>
    <phoneticPr fontId="10"/>
  </si>
  <si>
    <t>Parent Structure</t>
    <phoneticPr fontId="10"/>
  </si>
  <si>
    <t>※Idocの場合必須</t>
    <rPh sb="6" eb="8">
      <t>バアイ</t>
    </rPh>
    <rPh sb="8" eb="10">
      <t>ヒッス</t>
    </rPh>
    <phoneticPr fontId="10"/>
  </si>
  <si>
    <t>整数</t>
    <rPh sb="0" eb="2">
      <t>セイスウ</t>
    </rPh>
    <phoneticPr fontId="0"/>
  </si>
  <si>
    <t>小数</t>
    <rPh sb="0" eb="2">
      <t>ショウスウ</t>
    </rPh>
    <phoneticPr fontId="0"/>
  </si>
  <si>
    <t>バイト数</t>
    <rPh sb="3" eb="4">
      <t>スウ</t>
    </rPh>
    <phoneticPr fontId="0"/>
  </si>
  <si>
    <t>例</t>
    <rPh sb="0" eb="1">
      <t>レイ</t>
    </rPh>
    <phoneticPr fontId="0"/>
  </si>
  <si>
    <t>定義</t>
    <rPh sb="0" eb="2">
      <t>テイギ</t>
    </rPh>
    <phoneticPr fontId="0"/>
  </si>
  <si>
    <t>項目名</t>
    <rPh sb="0" eb="2">
      <t>コウモク</t>
    </rPh>
    <rPh sb="2" eb="3">
      <t>メイ</t>
    </rPh>
    <phoneticPr fontId="10"/>
  </si>
  <si>
    <t>マッピングルール</t>
    <phoneticPr fontId="10"/>
  </si>
  <si>
    <t>項目グループ</t>
    <rPh sb="0" eb="2">
      <t>コウモク</t>
    </rPh>
    <phoneticPr fontId="10"/>
  </si>
  <si>
    <t>項目名（テキスト）</t>
    <rPh sb="0" eb="2">
      <t>コウモク</t>
    </rPh>
    <rPh sb="2" eb="3">
      <t>メイ</t>
    </rPh>
    <phoneticPr fontId="10"/>
  </si>
  <si>
    <t>テーブル名</t>
    <rPh sb="4" eb="5">
      <t>メイ</t>
    </rPh>
    <phoneticPr fontId="10"/>
  </si>
  <si>
    <t>データタイプ</t>
    <phoneticPr fontId="10"/>
  </si>
  <si>
    <t>桁数</t>
    <rPh sb="0" eb="2">
      <t>ケタスウ</t>
    </rPh>
    <phoneticPr fontId="10"/>
  </si>
  <si>
    <t>処理日</t>
  </si>
  <si>
    <t>CHAR</t>
    <phoneticPr fontId="10"/>
  </si>
  <si>
    <t>-</t>
    <phoneticPr fontId="10"/>
  </si>
  <si>
    <t>◎</t>
  </si>
  <si>
    <t>◎</t>
    <phoneticPr fontId="10"/>
  </si>
  <si>
    <t>業務日付を設定する。</t>
    <phoneticPr fontId="10"/>
  </si>
  <si>
    <t>YYYYMMDD</t>
    <phoneticPr fontId="10"/>
  </si>
  <si>
    <t>20170327</t>
  </si>
  <si>
    <t>依頼番号</t>
  </si>
  <si>
    <t>74562</t>
  </si>
  <si>
    <t>伝票日付</t>
  </si>
  <si>
    <t>YYYYMMDD</t>
  </si>
  <si>
    <t>伝票番号</t>
  </si>
  <si>
    <t>5812827</t>
  </si>
  <si>
    <t>伝票番号枝番号</t>
  </si>
  <si>
    <t>00</t>
  </si>
  <si>
    <t>履歴番号</t>
  </si>
  <si>
    <t>明細番号</t>
  </si>
  <si>
    <t>商品コード</t>
  </si>
  <si>
    <t>※実データは6桁で連携</t>
    <phoneticPr fontId="10"/>
  </si>
  <si>
    <t>335204</t>
    <phoneticPr fontId="10"/>
  </si>
  <si>
    <t>※IF定義書上は8桁で定義されているが、サンプルデータは6桁となっていたため、実態は6桁。</t>
    <rPh sb="3" eb="5">
      <t>テイギ</t>
    </rPh>
    <rPh sb="5" eb="6">
      <t>ショ</t>
    </rPh>
    <rPh sb="6" eb="7">
      <t>ジョウ</t>
    </rPh>
    <rPh sb="9" eb="10">
      <t>ケタ</t>
    </rPh>
    <rPh sb="11" eb="13">
      <t>テイギ</t>
    </rPh>
    <rPh sb="29" eb="30">
      <t>ケタ</t>
    </rPh>
    <rPh sb="39" eb="41">
      <t>ジッタイ</t>
    </rPh>
    <rPh sb="43" eb="44">
      <t>ケタ</t>
    </rPh>
    <phoneticPr fontId="10"/>
  </si>
  <si>
    <t>商品名</t>
  </si>
  <si>
    <t>キリン午後あたたかミル３４５Ｐ</t>
  </si>
  <si>
    <t>商品分類区分</t>
  </si>
  <si>
    <t>商品分類区分名称</t>
  </si>
  <si>
    <t>製品</t>
  </si>
  <si>
    <t>ケース数</t>
  </si>
  <si>
    <t>64</t>
  </si>
  <si>
    <t>バラ数</t>
  </si>
  <si>
    <t>0</t>
  </si>
  <si>
    <t>マル特区分</t>
  </si>
  <si>
    <t>0：無効、1：有効（マル特）</t>
    <phoneticPr fontId="10"/>
  </si>
  <si>
    <t>2017/5/18追記：型TIMESTAMPの場合、サイズは未記載とする</t>
    <rPh sb="9" eb="11">
      <t>ツイキ</t>
    </rPh>
    <rPh sb="12" eb="13">
      <t>カタ</t>
    </rPh>
    <rPh sb="23" eb="25">
      <t>バアイ</t>
    </rPh>
    <rPh sb="30" eb="33">
      <t>ミキサイ</t>
    </rPh>
    <phoneticPr fontId="10"/>
  </si>
  <si>
    <t>IFマッピング情報</t>
    <rPh sb="7" eb="9">
      <t>ジョウホウ</t>
    </rPh>
    <phoneticPr fontId="10"/>
  </si>
  <si>
    <t>入出庫伝票ヘッダ</t>
    <rPh sb="0" eb="3">
      <t>ニュウシュッコ</t>
    </rPh>
    <rPh sb="3" eb="5">
      <t>デンピョウ</t>
    </rPh>
    <phoneticPr fontId="10"/>
  </si>
  <si>
    <t>転記日付</t>
  </si>
  <si>
    <t>BUDAT</t>
  </si>
  <si>
    <t>MKPF</t>
  </si>
  <si>
    <t>入出庫伝票</t>
  </si>
  <si>
    <t>MBLNR</t>
  </si>
  <si>
    <t>先頭1ケタを削除してセット</t>
    <rPh sb="0" eb="2">
      <t>セントウ</t>
    </rPh>
    <rPh sb="6" eb="8">
      <t>サクジョ</t>
    </rPh>
    <phoneticPr fontId="10"/>
  </si>
  <si>
    <t>BLDAT</t>
  </si>
  <si>
    <t>先頭3ケタを削除してセット</t>
    <rPh sb="0" eb="2">
      <t>セントウ</t>
    </rPh>
    <rPh sb="6" eb="8">
      <t>サクジョ</t>
    </rPh>
    <phoneticPr fontId="10"/>
  </si>
  <si>
    <t>&lt;ブランク&gt;</t>
    <phoneticPr fontId="10"/>
  </si>
  <si>
    <t>入出庫伝票明細</t>
    <rPh sb="0" eb="3">
      <t>ニュウシュッコ</t>
    </rPh>
    <rPh sb="3" eb="5">
      <t>デンピョウ</t>
    </rPh>
    <rPh sb="5" eb="7">
      <t>メイサイ</t>
    </rPh>
    <phoneticPr fontId="10"/>
  </si>
  <si>
    <t>明細番号</t>
    <rPh sb="0" eb="2">
      <t>メイサイ</t>
    </rPh>
    <rPh sb="2" eb="4">
      <t>バンゴウ</t>
    </rPh>
    <phoneticPr fontId="10"/>
  </si>
  <si>
    <t>ZEILE</t>
    <phoneticPr fontId="10"/>
  </si>
  <si>
    <t>MSEG</t>
    <phoneticPr fontId="10"/>
  </si>
  <si>
    <t>NUMC</t>
    <phoneticPr fontId="10"/>
  </si>
  <si>
    <t>先頭2ケタを削除してセット</t>
    <rPh sb="0" eb="2">
      <t>セントウ</t>
    </rPh>
    <rPh sb="6" eb="8">
      <t>サクジョ</t>
    </rPh>
    <phoneticPr fontId="10"/>
  </si>
  <si>
    <t>品目コード</t>
    <rPh sb="0" eb="2">
      <t>ヒンモク</t>
    </rPh>
    <phoneticPr fontId="10"/>
  </si>
  <si>
    <t>MATNR</t>
    <phoneticPr fontId="10"/>
  </si>
  <si>
    <t>商品変換テーブルを会社コードと品目コードで検索し抽出された商品コードをセットする。商品コードが抽出されない場合は＜ブランク＞をセット</t>
    <rPh sb="0" eb="2">
      <t>ショウヒン</t>
    </rPh>
    <rPh sb="2" eb="4">
      <t>ヘンカン</t>
    </rPh>
    <rPh sb="9" eb="11">
      <t>カイシャ</t>
    </rPh>
    <rPh sb="15" eb="17">
      <t>ヒンモク</t>
    </rPh>
    <rPh sb="21" eb="23">
      <t>ケンサク</t>
    </rPh>
    <rPh sb="24" eb="26">
      <t>チュウシュツ</t>
    </rPh>
    <rPh sb="29" eb="31">
      <t>ショウヒン</t>
    </rPh>
    <rPh sb="41" eb="43">
      <t>ショウヒン</t>
    </rPh>
    <rPh sb="47" eb="49">
      <t>チュウシュツ</t>
    </rPh>
    <rPh sb="53" eb="55">
      <t>バアイ</t>
    </rPh>
    <phoneticPr fontId="10"/>
  </si>
  <si>
    <t>品目コードより抽出された商品コードで商品変換テーブルより抽出した商品名称をセット。商品コードが抽出されない場合は＜ブランク＞をセット</t>
    <rPh sb="0" eb="2">
      <t>ヒンモク</t>
    </rPh>
    <rPh sb="7" eb="9">
      <t>チュウシュツ</t>
    </rPh>
    <rPh sb="12" eb="14">
      <t>ショウヒン</t>
    </rPh>
    <rPh sb="18" eb="20">
      <t>ショウヒン</t>
    </rPh>
    <rPh sb="20" eb="22">
      <t>ヘンカン</t>
    </rPh>
    <rPh sb="28" eb="30">
      <t>チュウシュツ</t>
    </rPh>
    <rPh sb="32" eb="34">
      <t>ショウヒン</t>
    </rPh>
    <rPh sb="34" eb="36">
      <t>メイショウ</t>
    </rPh>
    <phoneticPr fontId="10"/>
  </si>
  <si>
    <t>固定値「V」</t>
    <rPh sb="0" eb="3">
      <t>コテイチ</t>
    </rPh>
    <phoneticPr fontId="10"/>
  </si>
  <si>
    <t>固定値「飲料」</t>
    <rPh sb="0" eb="3">
      <t>コテイチ</t>
    </rPh>
    <rPh sb="4" eb="6">
      <t>インリョウ</t>
    </rPh>
    <phoneticPr fontId="10"/>
  </si>
  <si>
    <t>数量</t>
    <rPh sb="0" eb="2">
      <t>スウリョウ</t>
    </rPh>
    <phoneticPr fontId="10"/>
  </si>
  <si>
    <t>MENGE</t>
    <phoneticPr fontId="10"/>
  </si>
  <si>
    <t>QUAN</t>
    <phoneticPr fontId="10"/>
  </si>
  <si>
    <t>IF数量単位変換テーブルを基本数量単位で検索しIF換算係数を取得し、「IF換算係数x数量」の値をセットする</t>
    <rPh sb="2" eb="4">
      <t>スウリョウ</t>
    </rPh>
    <rPh sb="4" eb="6">
      <t>タンイ</t>
    </rPh>
    <rPh sb="6" eb="8">
      <t>ヘンカン</t>
    </rPh>
    <rPh sb="13" eb="15">
      <t>キホン</t>
    </rPh>
    <rPh sb="15" eb="17">
      <t>スウリョウ</t>
    </rPh>
    <rPh sb="17" eb="19">
      <t>タンイ</t>
    </rPh>
    <rPh sb="20" eb="22">
      <t>ケンサク</t>
    </rPh>
    <rPh sb="25" eb="27">
      <t>カンサン</t>
    </rPh>
    <rPh sb="27" eb="29">
      <t>ケイスウ</t>
    </rPh>
    <rPh sb="30" eb="32">
      <t>シュトク</t>
    </rPh>
    <rPh sb="37" eb="39">
      <t>カンサン</t>
    </rPh>
    <rPh sb="39" eb="41">
      <t>ケイスウ</t>
    </rPh>
    <rPh sb="42" eb="44">
      <t>スウリョウ</t>
    </rPh>
    <rPh sb="46" eb="47">
      <t>アタイ</t>
    </rPh>
    <phoneticPr fontId="10"/>
  </si>
  <si>
    <t>基本数量単位</t>
    <phoneticPr fontId="10"/>
  </si>
  <si>
    <t>MEINS</t>
    <phoneticPr fontId="10"/>
  </si>
  <si>
    <t>UNIT</t>
    <phoneticPr fontId="10"/>
  </si>
  <si>
    <t>項目名</t>
    <rPh sb="0" eb="3">
      <t>コウモクメイ</t>
    </rPh>
    <phoneticPr fontId="1"/>
  </si>
  <si>
    <t>長さ</t>
    <rPh sb="0" eb="1">
      <t>ナガ</t>
    </rPh>
    <phoneticPr fontId="1"/>
  </si>
  <si>
    <t>小数</t>
    <rPh sb="0" eb="2">
      <t>ショウスウ</t>
    </rPh>
    <phoneticPr fontId="1"/>
  </si>
  <si>
    <r>
      <t xml:space="preserve">コード値ではなく、テキスト
出荷タイプが在庫転送の場合、当項目を出力する。
</t>
    </r>
    <r>
      <rPr>
        <sz val="9"/>
        <color rgb="FF7030A0"/>
        <rFont val="メイリオ"/>
        <family val="3"/>
        <charset val="128"/>
      </rPr>
      <t>※購買参照の出荷タイプ「Z130」在庫転送、「Z134」無償材料支給</t>
    </r>
    <phoneticPr fontId="10"/>
  </si>
  <si>
    <t>I_BusinessPartner</t>
    <phoneticPr fontId="10"/>
  </si>
  <si>
    <t>SEARCHTERM1</t>
    <phoneticPr fontId="10"/>
  </si>
  <si>
    <t>検索語句 1</t>
    <phoneticPr fontId="10"/>
  </si>
  <si>
    <t>IncotermsClassification</t>
    <phoneticPr fontId="10"/>
  </si>
  <si>
    <t>ZZ1_COSTC_MANUz2_PRD</t>
    <phoneticPr fontId="10"/>
  </si>
  <si>
    <t>KNMTA_MATERIALBYCUSTOMER</t>
    <phoneticPr fontId="10"/>
  </si>
  <si>
    <t>ZZ1_DB_Name_PRD_PRD</t>
    <phoneticPr fontId="10"/>
  </si>
  <si>
    <t>PerPersonal(IF_PerPersona)</t>
    <phoneticPr fontId="10"/>
  </si>
  <si>
    <t>businessLastName</t>
    <phoneticPr fontId="10"/>
  </si>
  <si>
    <t>受注伝票発行者</t>
    <phoneticPr fontId="10"/>
  </si>
  <si>
    <t>コード値ではなく、テキスト
出荷タイプが在庫転送以外の場合、当項目を出力する。
姓と名の間に半角スペースを入力し、項目結合する。</t>
    <phoneticPr fontId="10"/>
  </si>
  <si>
    <t>businessFirstName</t>
    <phoneticPr fontId="10"/>
  </si>
  <si>
    <t>ZI_SD_SalesDoctPartner</t>
    <phoneticPr fontId="10"/>
  </si>
  <si>
    <t>ZZCreatedByUser</t>
    <phoneticPr fontId="10"/>
  </si>
  <si>
    <t>正常レスポンスを作成する。
"ResponseCode"："200"</t>
    <rPh sb="0" eb="2">
      <t>セイジョウ</t>
    </rPh>
    <rPh sb="8" eb="10">
      <t>サクセイ</t>
    </rPh>
    <phoneticPr fontId="10"/>
  </si>
  <si>
    <t>※エラーが発生した場合、Payloadを出力してエラーで処理を終了する。
※エラーレスポンスをする。
"ResponseCode"："400"</t>
    <phoneticPr fontId="39" type="noConversion"/>
  </si>
  <si>
    <t>HPK_Datasphere_XXX</t>
    <phoneticPr fontId="10"/>
  </si>
  <si>
    <r>
      <t xml:space="preserve">上記取得の出荷リスト情報の通常データまたは遅延データより下記の処理を行い、テキストの取得
</t>
    </r>
    <r>
      <rPr>
        <b/>
        <sz val="10"/>
        <rFont val="Meiryo UI"/>
        <family val="3"/>
        <charset val="128"/>
      </rPr>
      <t>※テキストが取得できない場合、空白のままで設定</t>
    </r>
    <r>
      <rPr>
        <sz val="10"/>
        <rFont val="Meiryo UI"/>
        <family val="3"/>
        <charset val="128"/>
      </rPr>
      <t xml:space="preserve">
・</t>
    </r>
    <r>
      <rPr>
        <b/>
        <sz val="10"/>
        <rFont val="Meiryo UI"/>
        <family val="3"/>
        <charset val="128"/>
      </rPr>
      <t>販売伝票タイプのテキストの取得</t>
    </r>
    <r>
      <rPr>
        <sz val="10"/>
        <rFont val="Meiryo UI"/>
        <family val="3"/>
        <charset val="128"/>
      </rPr>
      <t xml:space="preserve">
(結合条件)
IF_I_SalesDocumentTypeText-SALESDOCUMENTTYPE(販売伝票タイプ:テキストの販売伝票タイプ)=上記No.01でIF_C_SalesDocumentItemDEX_1-SALESDOCUMENTTYPE(受注ヘッダデータの伝票タイプ)
(取得条件)
IF_I_SalesDocumentTypeText-LANGUAGE(言語キー)='JA'
(取得項目)
販売伝票タイプテキスト(IF_I_SalesDocumentTypeText-SALESDOCUMENTTYPENAME
・</t>
    </r>
    <r>
      <rPr>
        <b/>
        <sz val="10"/>
        <rFont val="Meiryo UI"/>
        <family val="3"/>
        <charset val="128"/>
      </rPr>
      <t xml:space="preserve">購買発注の伝票タイプのテキスト
</t>
    </r>
    <r>
      <rPr>
        <sz val="10"/>
        <rFont val="Meiryo UI"/>
        <family val="3"/>
        <charset val="128"/>
      </rPr>
      <t>(結合条件)</t>
    </r>
    <r>
      <rPr>
        <b/>
        <sz val="10"/>
        <rFont val="Meiryo UI"/>
        <family val="3"/>
        <charset val="128"/>
      </rPr>
      <t xml:space="preserve">
</t>
    </r>
    <r>
      <rPr>
        <sz val="10"/>
        <rFont val="Meiryo UI"/>
        <family val="3"/>
        <charset val="128"/>
      </rPr>
      <t xml:space="preserve">IF_I_PurchasingDocumentTypeText-PURCHASINGDOCUMENTTYPE(購買伝票タイプテキストの伝票タイプ)=上記No.01で取得のIF_C_PurchaseOrderItemDEX-PURCHASEORDERTYPE(購買伝票ヘッダの伝票タイプ)
IF_I_PurchasingGroup-PURCHASINGGROUP(購買グループの購買グループ)=上記No.01で取得のIF_C_PurchaseOrderItemDEX-PURCHASINGGROUP(購買伝票ヘッダのグループ)
(取得条件)
IF_I_PurchasingDocumentTypeText-PurchasingDocumentCategory='F'(購買発注)
IF_I_PurchasingDocumentTypeText-LANGUAGE(言語キー)='JA'
(取得項目)
IF_I_PurchasingDocumentTypeText-PURCHASINGDOCUMENTTYPENAME(購買伝票タイプテキスト)
IF_I_PurchasingGroup-PURCHASINGGROUPNAME(購買グループテキスト)
※出荷タイプが在庫転送の場合、項目を出力する。
</t>
    </r>
    <r>
      <rPr>
        <b/>
        <sz val="10"/>
        <rFont val="Meiryo UI"/>
        <family val="3"/>
        <charset val="128"/>
      </rPr>
      <t>・品目Grp1のテキスト取得(該非-輸出令)</t>
    </r>
    <r>
      <rPr>
        <sz val="10"/>
        <rFont val="Meiryo UI"/>
        <family val="3"/>
        <charset val="128"/>
      </rPr>
      <t xml:space="preserve">
(結合条件)
品目グループ１(IF_I_AdditionalMaterialGroup1Text-ADDITIONALMATERIALGROUP1)=上記No.01で品目グループ１(IF_I_DeliveryDocumentItem-ADDITIONALMATERIALGROUP1)
(取得条件)
言語キー(IF_I_AdditionalMaterialGroup1Text-LANGUAGE)='JA'
(取得項目)
テキスト(IF_I_AdditionalMaterialGroup1Text-ADDITIONALMATERIALGROUP1NAME)
</t>
    </r>
    <rPh sb="51" eb="53">
      <t>シュトク</t>
    </rPh>
    <rPh sb="57" eb="59">
      <t>バアイ</t>
    </rPh>
    <rPh sb="60" eb="62">
      <t>クウハク</t>
    </rPh>
    <rPh sb="66" eb="68">
      <t>セッテイ</t>
    </rPh>
    <rPh sb="77" eb="79">
      <t>シュトク</t>
    </rPh>
    <rPh sb="352" eb="354">
      <t>デンピョウ</t>
    </rPh>
    <rPh sb="450" eb="452">
      <t>ジョウキ</t>
    </rPh>
    <rPh sb="458" eb="460">
      <t>シュトク</t>
    </rPh>
    <phoneticPr fontId="10"/>
  </si>
  <si>
    <t>Prop_Input_reprocessFlag</t>
    <phoneticPr fontId="10"/>
  </si>
  <si>
    <t>外部パラメータ取得</t>
    <phoneticPr fontId="10"/>
  </si>
  <si>
    <t>※エラーが発生した場合、Payloadを出力してエラーで処理を終了する。
※エラーレスポンスをする。
"status": "ERROR",
"message": "システムエラー",
"ResponseCode"："500"</t>
  </si>
  <si>
    <r>
      <t xml:space="preserve">Value Mapping'Vmap_Common_Address'から以下の
パラメータを取得する。
・HPKDB：Address(Host名)・LocationID・CredentialName・Port
</t>
    </r>
    <r>
      <rPr>
        <b/>
        <sz val="11"/>
        <rFont val="Meiryo UI"/>
        <family val="3"/>
        <charset val="128"/>
      </rPr>
      <t>※本機能使用の判定条件は固定値の場合、Value Mappingで事前に定義対応</t>
    </r>
    <phoneticPr fontId="10"/>
  </si>
  <si>
    <t>4</t>
  </si>
  <si>
    <t>再実行用フラグの判定</t>
    <rPh sb="0" eb="4">
      <t>サイジッコウヨウ</t>
    </rPh>
    <rPh sb="8" eb="10">
      <t>ハンテイ</t>
    </rPh>
    <phoneticPr fontId="10"/>
  </si>
  <si>
    <t>積み残し対応：DSPのアドオンテーブルから取得のように仕様変更対応</t>
    <rPh sb="0" eb="1">
      <t>ツ</t>
    </rPh>
    <rPh sb="2" eb="3">
      <t>ノコ</t>
    </rPh>
    <rPh sb="4" eb="6">
      <t>タイオウ</t>
    </rPh>
    <rPh sb="21" eb="23">
      <t>シュトク</t>
    </rPh>
    <rPh sb="27" eb="31">
      <t>シヨウヘンコウ</t>
    </rPh>
    <rPh sb="31" eb="33">
      <t>タイオウ</t>
    </rPh>
    <phoneticPr fontId="10"/>
  </si>
  <si>
    <t>前回タイムスタンプ取得</t>
    <rPh sb="0" eb="2">
      <t>ゼンカイ</t>
    </rPh>
    <rPh sb="9" eb="11">
      <t>シュトク</t>
    </rPh>
    <phoneticPr fontId="10"/>
  </si>
  <si>
    <t>エラーが発生した場合、Payloadを出力してエラーで処理を終了する。
エラー発生時のメールでシステム管理者に通知する。</t>
    <phoneticPr fontId="10"/>
  </si>
  <si>
    <t>6-1</t>
    <phoneticPr fontId="10"/>
  </si>
  <si>
    <r>
      <t xml:space="preserve">下記の分岐より通常データと遅延データをそれぞれ情報を取得する
・通常の出荷リストデータ
　積載日=システム日付
・営業承認遅延の出荷リストデータ
　登録日が昨日、且つ積載日が過去日付
</t>
    </r>
    <r>
      <rPr>
        <sz val="11"/>
        <color rgb="FF7030A0"/>
        <rFont val="Meiryo UI"/>
        <family val="3"/>
        <charset val="128"/>
      </rPr>
      <t xml:space="preserve">●再実行用フラグより分岐対応
</t>
    </r>
    <r>
      <rPr>
        <sz val="11"/>
        <color rgb="FFFF0000"/>
        <rFont val="Meiryo UI"/>
        <family val="3"/>
        <charset val="128"/>
      </rPr>
      <t xml:space="preserve">①再実行用フラグがが"X"の場合
DSPテーブルにエラーデータを格納し、再実行フラグより再実行を行う
</t>
    </r>
    <r>
      <rPr>
        <sz val="11"/>
        <color rgb="FF7030A0"/>
        <rFont val="Meiryo UI"/>
        <family val="3"/>
        <charset val="128"/>
      </rPr>
      <t>②再実行用フラグが空白の場合、
抽出条件よりDSPから対象データを取得する。</t>
    </r>
    <rPh sb="0" eb="2">
      <t>ｶｷ</t>
    </rPh>
    <rPh sb="3" eb="5">
      <t>ﾌﾞﾝｷ</t>
    </rPh>
    <rPh sb="7" eb="9">
      <t>ﾂｳｼﾞｮｳ</t>
    </rPh>
    <rPh sb="13" eb="15">
      <t>ﾁｴﾝ</t>
    </rPh>
    <rPh sb="23" eb="25">
      <t>ｼﾞｮｳﾎｳ</t>
    </rPh>
    <rPh sb="26" eb="28">
      <t>ｼｭﾄｸ</t>
    </rPh>
    <phoneticPr fontId="39" type="noConversion"/>
  </si>
  <si>
    <t>日中・夜間・差分・再実行の分岐条件作成</t>
    <rPh sb="0" eb="2">
      <t>ニッチュウ</t>
    </rPh>
    <rPh sb="3" eb="5">
      <t>ヤカン</t>
    </rPh>
    <rPh sb="6" eb="8">
      <t>サブン</t>
    </rPh>
    <rPh sb="9" eb="12">
      <t>サイジッコウ</t>
    </rPh>
    <rPh sb="13" eb="15">
      <t>ブンキ</t>
    </rPh>
    <rPh sb="15" eb="17">
      <t>ジョウケン</t>
    </rPh>
    <rPh sb="17" eb="19">
      <t>サクセイ</t>
    </rPh>
    <phoneticPr fontId="10"/>
  </si>
  <si>
    <t xml:space="preserve">購買情報
・購買伝票タイプ
・購買グループ
品目マスタ情報取得
・責任原価センタ（製造）
・製品DB型名
販売伝票：取引先情報の取得
・得意先コード
・国/地域コード
・取引先機能
※取引先機能：受注先(SP)、出荷先(SH)、計画集計対象(ZC)→ユーザ会社名
得意先マスタ：一般データ情報の取得
・取引先の会社ID
ビジネスパートナー情報の取得
・検索語句1を受注先(受注先会社名)・出荷先(届出先会社名)・計画集計対象(ユーザ会社名)に設定する
※取引先の会社IDに値が入っているかつ仕向国(国/地域コード)がJP以外の場合
得意先品目/追加得意先品目取得
社外型名の取得
①テーブル「KNMTA」から得意先が使用する品目コードを取得し、追加得意先品目コード(社外型名)に設定する。※マッピング義No.22
②　①取得できない場合、製品DB型名の値がある場合、社外型名に設定する。
　　　※マッピング義No.23
③ ①と②がない場合、明細/品目の明細テキストの値がある場合、社外型名に設定する。
　　※マッピング定義No.24とマッピング定義No.21の設定が同じです。
</t>
    <phoneticPr fontId="39" type="noConversion"/>
  </si>
  <si>
    <t>出荷伝票情報取得</t>
    <rPh sb="6" eb="8">
      <t>ｼｭﾄｸ</t>
    </rPh>
    <phoneticPr fontId="39" type="noConversion"/>
  </si>
  <si>
    <t>ReceiverAdapter</t>
    <phoneticPr fontId="10"/>
  </si>
  <si>
    <t>DSPから情報を依頼する</t>
    <rPh sb="5" eb="7">
      <t>ジョウホウ</t>
    </rPh>
    <rPh sb="8" eb="10">
      <t>イライ</t>
    </rPh>
    <phoneticPr fontId="10"/>
  </si>
  <si>
    <t>Request Reply</t>
    <phoneticPr fontId="10"/>
  </si>
  <si>
    <t>DB定義(01)
再実行用フラグ
外部パラメータ定義(01)</t>
    <rPh sb="2" eb="4">
      <t>ﾃｲｷﾞ</t>
    </rPh>
    <phoneticPr fontId="39" type="noConversion"/>
  </si>
  <si>
    <t>Splitterr用データ事前準備</t>
    <rPh sb="9" eb="10">
      <t>ﾖｳ</t>
    </rPh>
    <rPh sb="13" eb="17">
      <t>ｼﾞｾﾞﾝｼﾞｭﾝﾋﾞ</t>
    </rPh>
    <phoneticPr fontId="39" type="noConversion"/>
  </si>
  <si>
    <t>Router</t>
    <phoneticPr fontId="10"/>
  </si>
  <si>
    <t>Groovy Script　</t>
    <phoneticPr fontId="10"/>
  </si>
  <si>
    <t>Write Variables</t>
    <phoneticPr fontId="10"/>
  </si>
  <si>
    <t>正常レスポンス作成
※受入完了あと、SAP指摘追加分</t>
    <rPh sb="0" eb="2">
      <t>セイジョウ</t>
    </rPh>
    <rPh sb="7" eb="9">
      <t>サクセイ</t>
    </rPh>
    <rPh sb="11" eb="12">
      <t>ウ</t>
    </rPh>
    <rPh sb="12" eb="13">
      <t>イ</t>
    </rPh>
    <rPh sb="13" eb="15">
      <t>カンリョウ</t>
    </rPh>
    <rPh sb="21" eb="23">
      <t>シテキ</t>
    </rPh>
    <rPh sb="23" eb="25">
      <t>ツイカ</t>
    </rPh>
    <rPh sb="25" eb="26">
      <t>ブン</t>
    </rPh>
    <phoneticPr fontId="10"/>
  </si>
  <si>
    <t>12-3</t>
  </si>
  <si>
    <t xml:space="preserve">Iterating Splitter
</t>
    <phoneticPr fontId="10"/>
  </si>
  <si>
    <t>データ並行分岐処理</t>
    <rPh sb="3" eb="5">
      <t>ヘイコウ</t>
    </rPh>
    <rPh sb="5" eb="7">
      <t>ブンキ</t>
    </rPh>
    <rPh sb="7" eb="9">
      <t>ショリ</t>
    </rPh>
    <phoneticPr fontId="10"/>
  </si>
  <si>
    <t>16-1</t>
    <phoneticPr fontId="39" type="noConversion"/>
  </si>
  <si>
    <t>ファイルパス定義</t>
    <phoneticPr fontId="10"/>
  </si>
  <si>
    <t xml:space="preserve">ファイルパスをプロパティに定義する
・Name:Prop_NormalFile_Path
・Type:Constant
次処理はファイル出力処理へ行く
</t>
    <rPh sb="13" eb="15">
      <t>テイギ</t>
    </rPh>
    <rPh sb="14" eb="15">
      <t>セッテイ</t>
    </rPh>
    <rPh sb="68" eb="70">
      <t>シュツリョク</t>
    </rPh>
    <phoneticPr fontId="10"/>
  </si>
  <si>
    <t>16-2</t>
    <phoneticPr fontId="39" type="noConversion"/>
  </si>
  <si>
    <t xml:space="preserve">遅延エラーファイル名設定
</t>
    <phoneticPr fontId="10"/>
  </si>
  <si>
    <t xml:space="preserve">遅延エラーファイル名設定を行う。
次処理はデータの変換処理へ行く
</t>
    <rPh sb="9" eb="10">
      <t>メイ</t>
    </rPh>
    <rPh sb="10" eb="12">
      <t>セッテイ</t>
    </rPh>
    <rPh sb="13" eb="14">
      <t>オコナ</t>
    </rPh>
    <rPh sb="17" eb="20">
      <t>ツギショリ</t>
    </rPh>
    <phoneticPr fontId="10"/>
  </si>
  <si>
    <t xml:space="preserve">File定義06,08
</t>
    <phoneticPr fontId="10"/>
  </si>
  <si>
    <t>16-3</t>
    <phoneticPr fontId="39" type="noConversion"/>
  </si>
  <si>
    <t xml:space="preserve">正常成功ファイル名設定
</t>
    <phoneticPr fontId="10"/>
  </si>
  <si>
    <t>正常成功ファイル名設定を行う。
次処理はデータの変換処理へ行く</t>
    <rPh sb="0" eb="2">
      <t>セイジョウ</t>
    </rPh>
    <rPh sb="2" eb="4">
      <t>セイコウ</t>
    </rPh>
    <phoneticPr fontId="10"/>
  </si>
  <si>
    <t xml:space="preserve">File定義01,03
</t>
    <phoneticPr fontId="10"/>
  </si>
  <si>
    <t>16-4</t>
  </si>
  <si>
    <t xml:space="preserve">遅延成功ファイル名設定
</t>
    <phoneticPr fontId="10"/>
  </si>
  <si>
    <t xml:space="preserve">遅延成功ファイル名設定を行う。
次処理はデータの変換処理へ行く
</t>
    <rPh sb="0" eb="2">
      <t>チエン</t>
    </rPh>
    <rPh sb="2" eb="4">
      <t>セイコウ</t>
    </rPh>
    <phoneticPr fontId="10"/>
  </si>
  <si>
    <t xml:space="preserve">File定義02,04
</t>
    <phoneticPr fontId="10"/>
  </si>
  <si>
    <t>16-5</t>
    <phoneticPr fontId="39" type="noConversion"/>
  </si>
  <si>
    <t xml:space="preserve">正常エラーファイル名設定
</t>
    <phoneticPr fontId="10"/>
  </si>
  <si>
    <t xml:space="preserve">正常エラーファイル名設定を行う。
次処理はデータの変換処理へ行く
</t>
    <phoneticPr fontId="10"/>
  </si>
  <si>
    <t xml:space="preserve">File定義05,07
</t>
    <phoneticPr fontId="10"/>
  </si>
  <si>
    <t>データの変換</t>
    <rPh sb="4" eb="6">
      <t>ヘンカン</t>
    </rPh>
    <phoneticPr fontId="10"/>
  </si>
  <si>
    <t>抽出したデータを元にパイプ区切りのテキストへ変換する
形式を変換する（XML→CSV）
※カンマ「,」区切りテキストファイル</t>
    <rPh sb="0" eb="2">
      <t>チュウシュツ</t>
    </rPh>
    <rPh sb="8" eb="9">
      <t>モト</t>
    </rPh>
    <rPh sb="22" eb="24">
      <t>ヘンカン</t>
    </rPh>
    <phoneticPr fontId="10"/>
  </si>
  <si>
    <t>XML To CSV Converter</t>
    <phoneticPr fontId="10"/>
  </si>
  <si>
    <t>編集しファイルを共有フォルダ出力に出力する。
※出力時全項目を明細単位でフラットファイルとして出力する（ヘッダ・明細・その他項目を1行で保持する）</t>
    <rPh sb="0" eb="2">
      <t>ﾍﾝｼｭｳ</t>
    </rPh>
    <rPh sb="17" eb="19">
      <t>ｼｭﾂﾘｮｸ</t>
    </rPh>
    <phoneticPr fontId="39" type="noConversion"/>
  </si>
  <si>
    <t xml:space="preserve">File定義
</t>
    <phoneticPr fontId="10"/>
  </si>
  <si>
    <t>Send</t>
    <phoneticPr fontId="10"/>
  </si>
  <si>
    <t xml:space="preserve">ファイル出力後、情報を連結する。
</t>
    <rPh sb="4" eb="7">
      <t>シュツリョクアト</t>
    </rPh>
    <rPh sb="8" eb="10">
      <t>ジョウホウ</t>
    </rPh>
    <rPh sb="11" eb="13">
      <t>レンケツ</t>
    </rPh>
    <phoneticPr fontId="10"/>
  </si>
  <si>
    <t>Gather</t>
    <phoneticPr fontId="10"/>
  </si>
  <si>
    <t>20</t>
    <phoneticPr fontId="10"/>
  </si>
  <si>
    <t>差分処理判定</t>
    <rPh sb="2" eb="6">
      <t>ショリハンテイ</t>
    </rPh>
    <phoneticPr fontId="10"/>
  </si>
  <si>
    <t xml:space="preserve">・再実行ではない場合、差分保存処理へ
・再実行の場合、正常レスポンス作成処理へ行く
</t>
    <rPh sb="20" eb="23">
      <t>サイジッコウ</t>
    </rPh>
    <rPh sb="24" eb="26">
      <t>バアイ</t>
    </rPh>
    <rPh sb="36" eb="38">
      <t>ショリ</t>
    </rPh>
    <rPh sb="39" eb="40">
      <t>イ</t>
    </rPh>
    <phoneticPr fontId="10"/>
  </si>
  <si>
    <t>サブプロセス（Exception ）</t>
    <phoneticPr fontId="10"/>
  </si>
  <si>
    <t>21</t>
    <phoneticPr fontId="10"/>
  </si>
  <si>
    <t>エラー開始イベント
※受入後対応予定</t>
    <rPh sb="3" eb="5">
      <t>カイシ</t>
    </rPh>
    <phoneticPr fontId="10"/>
  </si>
  <si>
    <t>エラー処理を開始する</t>
    <rPh sb="3" eb="5">
      <t>ショリ</t>
    </rPh>
    <rPh sb="6" eb="8">
      <t>カイシ</t>
    </rPh>
    <phoneticPr fontId="10"/>
  </si>
  <si>
    <t>Error Start Event</t>
    <phoneticPr fontId="10"/>
  </si>
  <si>
    <t>処理を終了する</t>
    <rPh sb="0" eb="2">
      <t>ショリ</t>
    </rPh>
    <rPh sb="3" eb="5">
      <t>シュウリョウ</t>
    </rPh>
    <phoneticPr fontId="10"/>
  </si>
  <si>
    <t>前回実行日時を取得するProp_LastRunTimestamp＝Lvari_LastRunTimestamp(前回実行日時)
出荷伝票情報取得処理へ続行</t>
    <rPh sb="7" eb="9">
      <t>ｼｭﾄｸ</t>
    </rPh>
    <rPh sb="76" eb="78">
      <t>ｿﾞｯｺｳ</t>
    </rPh>
    <phoneticPr fontId="39" type="noConversion"/>
  </si>
  <si>
    <t>出荷伝票情報及びキスト情報と名称の編集</t>
    <rPh sb="6" eb="7">
      <t>オヨ</t>
    </rPh>
    <rPh sb="17" eb="19">
      <t>ヘンシュウ</t>
    </rPh>
    <phoneticPr fontId="10"/>
  </si>
  <si>
    <t xml:space="preserve">・通常データと遅延データがない場合、差分データを保存し、処理が正常終了する
・通常データ、または遅延データがある場合、データを分ける処理へ行く
</t>
    <rPh sb="1" eb="3">
      <t>ツウジョウ</t>
    </rPh>
    <rPh sb="7" eb="9">
      <t>チエン</t>
    </rPh>
    <rPh sb="18" eb="20">
      <t>サブン</t>
    </rPh>
    <rPh sb="24" eb="26">
      <t>ホゾン</t>
    </rPh>
    <rPh sb="28" eb="30">
      <t>ショリ</t>
    </rPh>
    <rPh sb="31" eb="35">
      <t>セイジョウシュウリョウ</t>
    </rPh>
    <rPh sb="39" eb="41">
      <t>ツウジョウ</t>
    </rPh>
    <rPh sb="48" eb="50">
      <t>チエン</t>
    </rPh>
    <rPh sb="69" eb="70">
      <t>イ</t>
    </rPh>
    <phoneticPr fontId="10"/>
  </si>
  <si>
    <t>Splitter</t>
    <phoneticPr fontId="10"/>
  </si>
  <si>
    <t xml:space="preserve">共有フォルダに出力
</t>
    <phoneticPr fontId="39" type="noConversion"/>
  </si>
  <si>
    <t>サブプロセス（Local Integration process ）</t>
    <phoneticPr fontId="10"/>
  </si>
  <si>
    <t xml:space="preserve">Local Integration process </t>
    <phoneticPr fontId="10"/>
  </si>
  <si>
    <t>3-1</t>
    <phoneticPr fontId="10"/>
  </si>
  <si>
    <t>3-2</t>
    <phoneticPr fontId="39" type="noConversion"/>
  </si>
  <si>
    <t xml:space="preserve">エラー開始イベント
</t>
    <rPh sb="3" eb="5">
      <t>カイシ</t>
    </rPh>
    <phoneticPr fontId="10"/>
  </si>
  <si>
    <t>3-3</t>
    <phoneticPr fontId="10"/>
  </si>
  <si>
    <t xml:space="preserve">終了処理
</t>
    <rPh sb="0" eb="2">
      <t>シュウリョウ</t>
    </rPh>
    <rPh sb="2" eb="4">
      <t>ショリ</t>
    </rPh>
    <phoneticPr fontId="10"/>
  </si>
  <si>
    <t>{
"reprocessFlag": "X"
}</t>
    <phoneticPr fontId="10"/>
  </si>
  <si>
    <t xml:space="preserve">DSPエラー履歴テーブル取得編集
</t>
    <rPh sb="6" eb="8">
      <t>リレキ</t>
    </rPh>
    <rPh sb="12" eb="14">
      <t>シュトク</t>
    </rPh>
    <rPh sb="14" eb="16">
      <t>ヘンシュウ</t>
    </rPh>
    <phoneticPr fontId="10"/>
  </si>
  <si>
    <t>再実行用フラグが"X"場合のみ、DSPのエラー履歴テーブルからデータを取得するSQL分を作成する</t>
    <rPh sb="21" eb="23">
      <t>ﾘﾚｷ</t>
    </rPh>
    <rPh sb="34" eb="36">
      <t>ｼｭﾄｸ</t>
    </rPh>
    <rPh sb="41" eb="42">
      <t>ﾌﾞﾝ</t>
    </rPh>
    <rPh sb="43" eb="45">
      <t>ｻｸｾｲ</t>
    </rPh>
    <phoneticPr fontId="39" type="noConversion"/>
  </si>
  <si>
    <t>DSPエラー履歴テーブル読込</t>
    <phoneticPr fontId="10"/>
  </si>
  <si>
    <t>再実行用フラグが"X"場合のみ、DSPから情報を依頼する</t>
    <rPh sb="21" eb="23">
      <t>ジョウホウ</t>
    </rPh>
    <rPh sb="24" eb="26">
      <t>イライ</t>
    </rPh>
    <phoneticPr fontId="10"/>
  </si>
  <si>
    <t>DSPエラー履歴テーブル削除データ作成</t>
    <rPh sb="6" eb="8">
      <t>リレキ</t>
    </rPh>
    <rPh sb="12" eb="14">
      <t>サクジョ</t>
    </rPh>
    <rPh sb="17" eb="19">
      <t>サクセイ</t>
    </rPh>
    <phoneticPr fontId="10"/>
  </si>
  <si>
    <t>再実行用フラグが"X"場合のみ、DSPエラー履歴テーブルからデータを削除するSQL分を作成する
※上記DSPからエラー履歴テーブルデータを読込んだ後、履歴テーブルデータの全件データを削除する</t>
    <rPh sb="0" eb="4">
      <t>サイジッコウヨウ</t>
    </rPh>
    <rPh sb="11" eb="13">
      <t>バアイ</t>
    </rPh>
    <rPh sb="34" eb="36">
      <t>サクジョ</t>
    </rPh>
    <rPh sb="49" eb="51">
      <t>ジョウキ</t>
    </rPh>
    <rPh sb="59" eb="61">
      <t>リレキ</t>
    </rPh>
    <rPh sb="69" eb="71">
      <t>ヨミコ</t>
    </rPh>
    <rPh sb="73" eb="74">
      <t>アト</t>
    </rPh>
    <rPh sb="85" eb="87">
      <t>ゼンケン</t>
    </rPh>
    <rPh sb="91" eb="93">
      <t>サクジョ</t>
    </rPh>
    <phoneticPr fontId="10"/>
  </si>
  <si>
    <t>DSPエラー履歴テーブルデータ削除</t>
    <rPh sb="6" eb="8">
      <t>リレキ</t>
    </rPh>
    <rPh sb="15" eb="17">
      <t>サクジョ</t>
    </rPh>
    <phoneticPr fontId="10"/>
  </si>
  <si>
    <t>6-2</t>
  </si>
  <si>
    <t>6-3</t>
  </si>
  <si>
    <t>DSPエラー履歴テーブル更新データ作成</t>
    <rPh sb="6" eb="8">
      <t>リレキ</t>
    </rPh>
    <rPh sb="12" eb="14">
      <t>コウシン</t>
    </rPh>
    <rPh sb="17" eb="19">
      <t>サクセイ</t>
    </rPh>
    <phoneticPr fontId="10"/>
  </si>
  <si>
    <t>DSPエラー履歴テーブルデータ更新</t>
    <rPh sb="6" eb="8">
      <t>リレキ</t>
    </rPh>
    <rPh sb="15" eb="17">
      <t>コウシン</t>
    </rPh>
    <phoneticPr fontId="10"/>
  </si>
  <si>
    <t>生成されたSQL文でDSPエラー履歴テーブルデータを一括で更新する
・上記の処理より登録データがある場合、DSPエラー履歴テーブルデータに登録する
・上記の処理より更新データがある場合、DSPエラー履歴テーブルデータを更新する</t>
    <rPh sb="26" eb="28">
      <t>イッカツ</t>
    </rPh>
    <rPh sb="29" eb="31">
      <t>コウシン</t>
    </rPh>
    <rPh sb="35" eb="37">
      <t>ジョウキ</t>
    </rPh>
    <rPh sb="38" eb="40">
      <t>ショリ</t>
    </rPh>
    <rPh sb="42" eb="44">
      <t>トウロク</t>
    </rPh>
    <rPh sb="50" eb="52">
      <t>バアイ</t>
    </rPh>
    <rPh sb="69" eb="71">
      <t>トウロク</t>
    </rPh>
    <rPh sb="82" eb="84">
      <t>コウシン</t>
    </rPh>
    <rPh sb="109" eb="111">
      <t>コウシン</t>
    </rPh>
    <phoneticPr fontId="10"/>
  </si>
  <si>
    <t>19-1</t>
    <phoneticPr fontId="39" type="noConversion"/>
  </si>
  <si>
    <t>19-2</t>
    <phoneticPr fontId="39" type="noConversion"/>
  </si>
  <si>
    <t>22</t>
    <phoneticPr fontId="10"/>
  </si>
  <si>
    <r>
      <rPr>
        <b/>
        <sz val="11"/>
        <rFont val="Meiryo UI"/>
        <family val="3"/>
        <charset val="128"/>
      </rPr>
      <t xml:space="preserve">通常データまたは遅延データより下記の処理を行う
</t>
    </r>
    <r>
      <rPr>
        <sz val="11"/>
        <color rgb="FFC00000"/>
        <rFont val="Meiryo UI"/>
        <family val="3"/>
        <charset val="128"/>
      </rPr>
      <t>①再実行用フラグが空白の場合</t>
    </r>
    <r>
      <rPr>
        <sz val="11"/>
        <rFont val="Meiryo UI"/>
        <family val="3"/>
        <charset val="128"/>
      </rPr>
      <t xml:space="preserve">
・上記の情報データよりプラント、出荷日（入庫予定日）、受注先コードの単位で抽出する。
・Splitterr用のXMLを生成しボディに上書きする。
</t>
    </r>
    <r>
      <rPr>
        <sz val="11"/>
        <color rgb="FFC00000"/>
        <rFont val="Meiryo UI"/>
        <family val="3"/>
        <charset val="128"/>
      </rPr>
      <t>②再実行用フラグが"X"場合
  ・取得のエラー履歴テーブルのデータ区分が"A"(通常エラーデータ)の場合、通常データとする
　・取得のエラー履歴テーブルのデータ区分が"B"(遅延エラーデータ)の場合、遅延データとする
　・Splitterr用のXMLを生成しボディに上書きする。</t>
    </r>
    <r>
      <rPr>
        <sz val="11"/>
        <rFont val="Meiryo UI"/>
        <family val="3"/>
        <charset val="128"/>
      </rPr>
      <t xml:space="preserve">
</t>
    </r>
    <rPh sb="34" eb="36">
      <t>クウハク</t>
    </rPh>
    <rPh sb="41" eb="43">
      <t>ジョウキ</t>
    </rPh>
    <rPh sb="44" eb="46">
      <t>ジョウホウ</t>
    </rPh>
    <rPh sb="56" eb="58">
      <t>シュッカ</t>
    </rPh>
    <rPh sb="58" eb="59">
      <t>ビ</t>
    </rPh>
    <rPh sb="60" eb="62">
      <t>ニュウコ</t>
    </rPh>
    <rPh sb="62" eb="65">
      <t>ヨテイビ</t>
    </rPh>
    <rPh sb="67" eb="70">
      <t>ジュチュウサキ</t>
    </rPh>
    <rPh sb="74" eb="76">
      <t>タンイ</t>
    </rPh>
    <rPh sb="77" eb="79">
      <t>チュウシュツ</t>
    </rPh>
    <rPh sb="99" eb="101">
      <t>セイセイ</t>
    </rPh>
    <rPh sb="106" eb="108">
      <t>ウワガ</t>
    </rPh>
    <rPh sb="132" eb="134">
      <t>シュトク</t>
    </rPh>
    <rPh sb="138" eb="140">
      <t>リレキ</t>
    </rPh>
    <rPh sb="165" eb="167">
      <t>バアイ</t>
    </rPh>
    <rPh sb="168" eb="170">
      <t>ツウジョウ</t>
    </rPh>
    <rPh sb="212" eb="214">
      <t>バアイ</t>
    </rPh>
    <rPh sb="215" eb="217">
      <t>チエン</t>
    </rPh>
    <phoneticPr fontId="10"/>
  </si>
  <si>
    <t>出荷伝票</t>
    <phoneticPr fontId="28"/>
  </si>
  <si>
    <t>明細</t>
    <rPh sb="0" eb="2">
      <t>メイサイ</t>
    </rPh>
    <phoneticPr fontId="28"/>
  </si>
  <si>
    <t>メッセージ</t>
    <phoneticPr fontId="10"/>
  </si>
  <si>
    <t>事業部出荷場所が取得できません。出荷伝票番号　明細番号</t>
    <phoneticPr fontId="10"/>
  </si>
  <si>
    <t>ユーザ会社名が取得できません。出荷伝票番号　明細番号</t>
    <phoneticPr fontId="10"/>
  </si>
  <si>
    <t>パターン１</t>
    <phoneticPr fontId="10"/>
  </si>
  <si>
    <t>通常処理の場合</t>
    <rPh sb="0" eb="4">
      <t>ツウジョウショリ</t>
    </rPh>
    <rPh sb="5" eb="7">
      <t>バアイ</t>
    </rPh>
    <phoneticPr fontId="10"/>
  </si>
  <si>
    <t>エラデーターがある場合、エラー履歴テーブルに更新する</t>
    <phoneticPr fontId="10"/>
  </si>
  <si>
    <t>パターン２</t>
    <phoneticPr fontId="10"/>
  </si>
  <si>
    <t>再実行の場合</t>
    <rPh sb="0" eb="3">
      <t>サイジッコウ</t>
    </rPh>
    <rPh sb="4" eb="6">
      <t>バアイ</t>
    </rPh>
    <phoneticPr fontId="10"/>
  </si>
  <si>
    <t>①エラー履歴テーブルから全件データを取得し、再実行対象データとする</t>
    <rPh sb="18" eb="20">
      <t>シュトク</t>
    </rPh>
    <rPh sb="22" eb="25">
      <t>サイジッコウ</t>
    </rPh>
    <rPh sb="25" eb="27">
      <t>タイショウ</t>
    </rPh>
    <phoneticPr fontId="10"/>
  </si>
  <si>
    <t>②再実行を処理しているため、処理済データとしてエラー履歴テーブルのデータを全件削除する</t>
    <rPh sb="1" eb="4">
      <t>サイジッコウ</t>
    </rPh>
    <rPh sb="5" eb="7">
      <t>ショリ</t>
    </rPh>
    <rPh sb="14" eb="17">
      <t>ショリスミ</t>
    </rPh>
    <rPh sb="37" eb="41">
      <t>ゼンケンサクジョ</t>
    </rPh>
    <phoneticPr fontId="10"/>
  </si>
  <si>
    <t>③再実行処理よりエラーがある場合、エラー履歴テーブルに更新する</t>
    <rPh sb="1" eb="4">
      <t>サイジッコウ</t>
    </rPh>
    <rPh sb="4" eb="6">
      <t>ショリ</t>
    </rPh>
    <rPh sb="14" eb="16">
      <t>バアイ</t>
    </rPh>
    <rPh sb="27" eb="29">
      <t>コウシン</t>
    </rPh>
    <phoneticPr fontId="10"/>
  </si>
  <si>
    <t>データ区分</t>
    <rPh sb="3" eb="5">
      <t>クブン</t>
    </rPh>
    <phoneticPr fontId="10"/>
  </si>
  <si>
    <t>A</t>
    <phoneticPr fontId="10"/>
  </si>
  <si>
    <t>B</t>
    <phoneticPr fontId="10"/>
  </si>
  <si>
    <t>※データ区分が"A"(通常エラーデータ)</t>
    <phoneticPr fontId="10"/>
  </si>
  <si>
    <t>　データ区分が"B"(遅延エラーデータ)</t>
    <phoneticPr fontId="10"/>
  </si>
  <si>
    <t>エラー履歴テーブルイメージ</t>
    <phoneticPr fontId="10"/>
  </si>
  <si>
    <t>出荷カード情報IF_エラー履歴テーブル</t>
    <rPh sb="0" eb="2">
      <t>シュッカ</t>
    </rPh>
    <rPh sb="5" eb="7">
      <t>ジョウホウ</t>
    </rPh>
    <rPh sb="13" eb="15">
      <t>リレキ</t>
    </rPh>
    <phoneticPr fontId="10"/>
  </si>
  <si>
    <t>v0.3mod</t>
    <phoneticPr fontId="10"/>
  </si>
  <si>
    <t>v0.5mod</t>
    <phoneticPr fontId="10"/>
  </si>
  <si>
    <t>08</t>
    <phoneticPr fontId="10"/>
  </si>
  <si>
    <t>出荷リスト海外IF_エラー履歴テーブル</t>
    <rPh sb="0" eb="2">
      <t>シュッカ</t>
    </rPh>
    <rPh sb="5" eb="7">
      <t>カイガイ</t>
    </rPh>
    <rPh sb="13" eb="15">
      <t>リレキ</t>
    </rPh>
    <phoneticPr fontId="10"/>
  </si>
  <si>
    <t>DSPの出荷カード情報IF_エラー履歴テーブルデータを取得する
(抽出条件)
なし、全件取得
(取得項目)
全項目
※エラー履歴テーブルイメージ</t>
    <rPh sb="27" eb="29">
      <t>シュトク</t>
    </rPh>
    <rPh sb="33" eb="35">
      <t>チュウシュツ</t>
    </rPh>
    <rPh sb="35" eb="37">
      <t>ジョウケン</t>
    </rPh>
    <rPh sb="42" eb="44">
      <t>ゼンケン</t>
    </rPh>
    <rPh sb="44" eb="46">
      <t>シュトク</t>
    </rPh>
    <rPh sb="54" eb="57">
      <t>ゼンコウモク</t>
    </rPh>
    <phoneticPr fontId="10"/>
  </si>
  <si>
    <t>削除</t>
    <rPh sb="0" eb="1">
      <t>サクジョ</t>
    </rPh>
    <phoneticPr fontId="10"/>
  </si>
  <si>
    <t>レコードを削除する。
(削除条件)
全件データ削除
※エラー履歴テーブル仕様</t>
    <rPh sb="5" eb="7">
      <t>サクジョ</t>
    </rPh>
    <rPh sb="12" eb="14">
      <t>サクジョ</t>
    </rPh>
    <rPh sb="18" eb="20">
      <t>ゼンケン</t>
    </rPh>
    <rPh sb="23" eb="25">
      <t>サクジョ</t>
    </rPh>
    <phoneticPr fontId="10"/>
  </si>
  <si>
    <t>レコードを登録する。
(登録項目)
全項目
※エラー履歴テーブル仕様</t>
    <rPh sb="18" eb="21">
      <t>ゼンコウモク</t>
    </rPh>
    <phoneticPr fontId="10"/>
  </si>
  <si>
    <t xml:space="preserve">エラーデータよりDSPエラー履歴テーブルの更新データを作成する。(一括更新・挿入)
※一括UPSERTの SQL生成
①販売伝票、明細、データ区分をキーとして履歴テーブルに存在しない場合、登録データを作成する
  ・通常エラーデータの場合、データ区分を"A"(通常エラーデータ)で設定する
　・遅延エラーデータの場合、データ区分を"B"(遅延エラーデータ)で設定する
②販売伝票、明細、データ区分をキーとして履歴テーブルに存在する場合、更新データを作成する
</t>
    <rPh sb="21" eb="23">
      <t>コウシン</t>
    </rPh>
    <rPh sb="27" eb="29">
      <t>サクセイ</t>
    </rPh>
    <rPh sb="186" eb="188">
      <t>ハンバイ</t>
    </rPh>
    <rPh sb="197" eb="199">
      <t>クブン</t>
    </rPh>
    <rPh sb="212" eb="214">
      <t>ソンザイ</t>
    </rPh>
    <rPh sb="225" eb="227">
      <t>サクセイ</t>
    </rPh>
    <phoneticPr fontId="10"/>
  </si>
  <si>
    <t>04</t>
    <phoneticPr fontId="10"/>
  </si>
  <si>
    <t>09</t>
    <phoneticPr fontId="10"/>
  </si>
  <si>
    <t>DB定義(04)
エラー履歴テーブル仕様</t>
    <rPh sb="18" eb="20">
      <t>ｼﾖｳ</t>
    </rPh>
    <phoneticPr fontId="39" type="noConversion"/>
  </si>
  <si>
    <t>DB定義(05)
エラー履歴テーブル仕様</t>
    <rPh sb="18" eb="20">
      <t>ｼﾖｳ</t>
    </rPh>
    <phoneticPr fontId="39" type="noConversion"/>
  </si>
  <si>
    <t xml:space="preserve">マッピング定義
DB定義の08~10よりエラーメッセージ情報を参照
</t>
    <phoneticPr fontId="39" type="noConversion"/>
  </si>
  <si>
    <r>
      <rPr>
        <b/>
        <sz val="11"/>
        <rFont val="Meiryo UI"/>
        <family val="3"/>
        <charset val="128"/>
      </rPr>
      <t>通常データまたは遅延データより下記の処理を行う</t>
    </r>
    <r>
      <rPr>
        <sz val="11"/>
        <rFont val="Meiryo UI"/>
        <family val="3"/>
        <charset val="128"/>
      </rPr>
      <t xml:space="preserve">
■マッピング定義を構造した正常（夜間・日中）データを加工する※データ単位で実施
①ヘッダ情報の編集
②マッピング定義の送信側の項目構造で対応イメージ
正常データ
&lt;records&gt;
   &lt;record&gt;
      &lt;field1&gt;ORDERID&lt;/field1&gt;
&lt;/record&gt;
&lt;/records&gt;
※構造イメージ：項目
■マッピング定義を構造したエラー（夜間・日中）データを加工する
①ヘッダ情報の編集
②マッピング定義の送信側の項目構造で対応
エラーデータ（テキスト、名称など値がないデータ）
※DB定義の08~10よりエラー対象項目とエラーメッセージ情報を参照
&lt;/record&gt;
   &lt;record&gt;
      &lt;field1&gt;ORDERID&lt;/field1&gt;
      &lt;errorMessage&gt;ERROR&lt;/errorMessage&gt;
  &lt;/record&gt;
&lt;/records&gt;
※構造イメージ：項目＋message
</t>
    </r>
    <rPh sb="99" eb="101">
      <t>セイジョウ</t>
    </rPh>
    <rPh sb="266" eb="268">
      <t>メイショウ</t>
    </rPh>
    <rPh sb="270" eb="271">
      <t>アタイ</t>
    </rPh>
    <rPh sb="295" eb="297">
      <t>タイショウ</t>
    </rPh>
    <rPh sb="297" eb="299">
      <t>コウモク</t>
    </rPh>
    <rPh sb="439" eb="441">
      <t>コウモク</t>
    </rPh>
    <phoneticPr fontId="10"/>
  </si>
  <si>
    <t>DB定義(06)登録
DB定義(07)更新
エラー履歴テーブル仕様</t>
    <rPh sb="8" eb="10">
      <t>ﾄｳﾛｸ</t>
    </rPh>
    <rPh sb="19" eb="21">
      <t>ｺｳｼﾝ</t>
    </rPh>
    <rPh sb="31" eb="33">
      <t>ｼﾖｳ</t>
    </rPh>
    <phoneticPr fontId="39" type="noConversion"/>
  </si>
  <si>
    <t>再実行用フラグが"X"場合のみ、DSPエラー履歴テーブルデータの全件データを削除する
次は9.出荷伝票情報取得処理へ行く</t>
    <rPh sb="32" eb="34">
      <t>ゼンケン</t>
    </rPh>
    <rPh sb="38" eb="40">
      <t>サクジョ</t>
    </rPh>
    <rPh sb="43" eb="44">
      <t>ツギ</t>
    </rPh>
    <rPh sb="55" eb="57">
      <t>ショリ</t>
    </rPh>
    <rPh sb="58" eb="59">
      <t>イ</t>
    </rPh>
    <phoneticPr fontId="10"/>
  </si>
  <si>
    <t>6-4</t>
    <phoneticPr fontId="10"/>
  </si>
  <si>
    <t xml:space="preserve">終了処理
※受入後対応予定
</t>
    <rPh sb="0" eb="2">
      <t>シュウリョウ</t>
    </rPh>
    <rPh sb="2" eb="4">
      <t>ショリ</t>
    </rPh>
    <phoneticPr fontId="10"/>
  </si>
  <si>
    <t>項目を更新する。
(更新条件)
出荷伝票 =エラー対象の出荷伝票
出荷明細 = エラー対象の出荷明細
データ区分 = エラー対象のデータ区分
(変更項目)
※エラー履歴テーブル仕様</t>
    <rPh sb="16" eb="18">
      <t>シュッカ</t>
    </rPh>
    <rPh sb="18" eb="20">
      <t>デンピョウ</t>
    </rPh>
    <rPh sb="25" eb="27">
      <t>タイショウ</t>
    </rPh>
    <rPh sb="28" eb="30">
      <t>シュッカ</t>
    </rPh>
    <rPh sb="33" eb="35">
      <t>シュッカ</t>
    </rPh>
    <rPh sb="43" eb="45">
      <t>タイショウ</t>
    </rPh>
    <rPh sb="46" eb="48">
      <t>シュッカ</t>
    </rPh>
    <rPh sb="54" eb="56">
      <t>クブン</t>
    </rPh>
    <rPh sb="68" eb="70">
      <t>クブン</t>
    </rPh>
    <rPh sb="72" eb="74">
      <t>ヘンコウ</t>
    </rPh>
    <phoneticPr fontId="10"/>
  </si>
  <si>
    <t>Gather
※受入後対応予定</t>
    <phoneticPr fontId="10"/>
  </si>
  <si>
    <r>
      <t>Prop_Input_reprocessFlag’：再実行用フラグが’X’かどうか判断を行う。
・再実行用フラグが’X’の場合、</t>
    </r>
    <r>
      <rPr>
        <sz val="11"/>
        <color rgb="FFFF0000"/>
        <rFont val="Meiryo UI"/>
        <family val="3"/>
        <charset val="128"/>
      </rPr>
      <t>DSPエラー履歴テーブル取得編集処理へ続行</t>
    </r>
    <r>
      <rPr>
        <sz val="11"/>
        <color rgb="FF7030A0"/>
        <rFont val="Meiryo UI"/>
        <family val="3"/>
        <charset val="128"/>
      </rPr>
      <t xml:space="preserve">
・再実行用フラグが空白の場合、前回タイムスタンプ取得処理へ続行
</t>
    </r>
    <rPh sb="41" eb="43">
      <t>ハンダン</t>
    </rPh>
    <rPh sb="44" eb="45">
      <t>オコナ</t>
    </rPh>
    <rPh sb="61" eb="63">
      <t>バアイ</t>
    </rPh>
    <rPh sb="80" eb="82">
      <t>ショリ</t>
    </rPh>
    <rPh sb="83" eb="85">
      <t>ゾッコウ</t>
    </rPh>
    <rPh sb="115" eb="117">
      <t>ゾッコウ</t>
    </rPh>
    <phoneticPr fontId="10"/>
  </si>
  <si>
    <r>
      <t>■上記の条件より</t>
    </r>
    <r>
      <rPr>
        <b/>
        <sz val="11"/>
        <color rgb="FF00B0F0"/>
        <rFont val="Meiryo UI"/>
        <family val="3"/>
        <charset val="128"/>
      </rPr>
      <t>取得対象項目</t>
    </r>
    <r>
      <rPr>
        <sz val="11"/>
        <rFont val="Meiryo UI"/>
        <family val="3"/>
        <charset val="128"/>
      </rPr>
      <t xml:space="preserve">
出荷伝票のヘッダ情報取得
・出荷ポイント
・伝票タイプ※出力ファイル項目用ではない、ソート用
・出荷伝票番号
・積載日
・登録日※出力ファイル項目ではない、営業承認遅延判定用
・出庫予定日
・受注先
・インコタームズ
出荷伝票の明細情報の取得
・出荷明細番号
・品目コード
・明細/品目の明細テキスト
・出荷数量
・参照伝票番号
・参照明細番号
・品目Grp1(該非-輸出令)
・プラント※出力ファイル項目用ではない、ファイル出力事業部名称分岐用
受注伝票情報
・受注伝票タイプ
・登録担当者
・得意先参照
・受注伝票発行者
個人情報取得
・姓と名の取得
</t>
    </r>
    <rPh sb="1" eb="3">
      <t>ｼﾞｮｳｷ</t>
    </rPh>
    <rPh sb="4" eb="6">
      <t>ｼﾞｮｳｹﾝ</t>
    </rPh>
    <rPh sb="278" eb="280">
      <t>ｺｼﾞﾝ</t>
    </rPh>
    <rPh sb="280" eb="282">
      <t>ｼﾞｮｳﾎｳ</t>
    </rPh>
    <rPh sb="282" eb="284">
      <t>ｼｭﾄｸ</t>
    </rPh>
    <rPh sb="286" eb="287">
      <t>ｾｲ</t>
    </rPh>
    <rPh sb="288" eb="289">
      <t>ﾒｲ</t>
    </rPh>
    <rPh sb="290" eb="292">
      <t>ｼｭﾄｸ</t>
    </rPh>
    <phoneticPr fontId="39" type="noConversion"/>
  </si>
  <si>
    <t xml:space="preserve">通常データまたは遅延データより下記の処理を行う
差分処理
①外部パラメータ：再実行用フラグが'X'の場合、差分処理をしないこと
　・DSP履歴テーブルの出荷伝票番号と出荷明細番号より出荷伝票を取得する。
②外部パラメータ：再実行用フラグが空白の場合、
  ・夜間実行の場合、差分処理をしないこと
(本日且つシステム時刻がAM:0:00~1:00は夜間判定、再実行の場合は考慮しません)
　夜間実施フラグを"X"で設定する。
　※ファイル名：夜間または日中の名前を決定する用
③外部パラメータ：再実行用フラグが空白の場合、
  ・昼実行の場合、差分処理を行う
(本日且つシステム時刻がAM:1:00より大きいは昼判定、再実行の場合は考慮しません)
　 Write Variableに保存した前回実行日時で実施する。
　 条件：前回実行日付より大きい、または前回実行日付と同じ、 
   且つ前回実行時刻より大きいなど、対象データを取得する
④外部パラメータ：再実行用フラグが空白の場合、
   SAP　Datasphereから連携してきた情報より
</t>
    <rPh sb="91" eb="95">
      <t>ｼｭｯｶﾃﾞﾝﾋﾟｮｳ</t>
    </rPh>
    <phoneticPr fontId="39" type="noConversion"/>
  </si>
  <si>
    <t>出荷リスト海外IF_エラー履歴テーブル(ZSDTHX_0003)</t>
    <phoneticPr fontId="10"/>
  </si>
  <si>
    <t>Error End Event</t>
    <phoneticPr fontId="10"/>
  </si>
  <si>
    <r>
      <rPr>
        <b/>
        <sz val="9"/>
        <rFont val="Meiryo UI"/>
        <family val="3"/>
        <charset val="128"/>
      </rPr>
      <t>・通常の出荷リストデータを取得するとき
　積載日付(IF_I_DeliveryDocument-LOADINGDATE)＝システム日付　　　　　 または（※別々で抽出して格納）
・営業承認遅延の出荷リストデータを取得するとき
登録日付(IF_I_DeliveryDocument-CREATIONDATE)＝システム日付-1 and
　積載日付(IF_I_DeliveryDocument-LOADINGDATE)&lt;システム日付
IF_I_DeliveryDocument-DELIVERYDOCUMENTTYPE(出荷タイプ)=標準出荷(Z100) or 海外発送依頼(Z101) or 標準無償出荷(Z102)
   or 在庫転送(プラント間)(Z130) or 有償材料支給(Z132) or無償材料支給(Z134) 
IF_I_DeliveryDocument-SHIPPINGPOINT(出荷ポイント)&lt;&gt;有償支給(国内)(1111) and  有償支給(外部からBHP)(1113) and 本社(1001)
IF_I_DeliveryDocument-DELIVERYBLOCKREASON(出荷ブロック)&lt;&gt;SPACE and 'Z7' and 'Z9'
IF_I_DeliveryDocumentItem-DELIVERYDOCUMENTITEMCATEGORY(明細カテゴリ)&lt;&gt;  'Z1AA'(仕入先直送) and 'Z1BA'(無償費用 仕入先直送) and 'Z1KA'(無償 仕入先直送) and　'Z1C7'(預託引渡 BOM子) and 'Z1A7'(子BOM)
■昼実行(システム日付が本日且つシステム時刻がAM:1:00より大きい)の場合、外部パラメータ「Ex_reprocessFlag」が設定なしの場合</t>
    </r>
    <r>
      <rPr>
        <sz val="9"/>
        <rFont val="Meiryo UI"/>
        <family val="3"/>
        <charset val="128"/>
      </rPr>
      <t xml:space="preserve">
IF_I_DeliveryDocument-CREATIONDATE(登録日付)&gt;前回実行日時の日付　or　　　　　　※①ヘッダ差分　　　　　　　　　
IF_I_DeliveryDocument-CREATIONDATE(登録日付)=前回実行日時の日付　and　　　　　※②ヘッダ差分
IF_I_DeliveryDocument-CREATIONTIME(登録時刻)&gt;前回実行日時の時刻　 or  
IF_I_DeliveryDocument-LASTCHANGEDATE(変更日)&lt;&gt;IF_I_DeliveryDocument-CREATIONDATE(登録日付)and       ※③ヘッダ差分
IF_I_DeliveryDocument-LASTCHANGEDATE(変更日)&gt;前回実行日時の日付　or　　　
IF_I_DeliveryDocument-LASTCHANGEDATE(変更日) &lt;&gt;IF_I_DeliveryDocument-CREATIONDATE(登録日付) and 　　※④明細差分
IF_I_DeliveryDocument-LASTCHANGEDATE(変更日) &lt;&gt;IF_I_DeliveryDocument-LASTCHANGEDATE(変更日)  and   ※⑤明細差分
IF_I_DeliveryDocument-LASTCHANGEDATE(変更日)&gt;前回実行日時の日付
※Lvari_LastRunTimestamp(前回実行日時)
</t>
    </r>
    <r>
      <rPr>
        <b/>
        <sz val="9"/>
        <rFont val="Meiryo UI"/>
        <family val="3"/>
        <charset val="128"/>
      </rPr>
      <t>■最実行の場合、外部パラメータ：再実行用フラグ「Ex_reprocessFlag」が'X'の場合より</t>
    </r>
    <r>
      <rPr>
        <sz val="9"/>
        <rFont val="Meiryo UI"/>
        <family val="3"/>
        <charset val="128"/>
      </rPr>
      <t xml:space="preserve">
IF_I_DeliveryDocument-DELIVERYDOCUMENT(出荷伝票) IN Ex_deliveryList(出荷伝票番号)
</t>
    </r>
    <r>
      <rPr>
        <b/>
        <sz val="9"/>
        <rFont val="Meiryo UI"/>
        <family val="3"/>
        <charset val="128"/>
      </rPr>
      <t>■夜間実行(システム日付が本日且つシステム時刻がAM:0:00~1:00)の場合、外部パラメータ：再実行用フラグ「Ex_reprocessFlag」が設定なしの場合
　</t>
    </r>
    <r>
      <rPr>
        <sz val="9"/>
        <rFont val="Meiryo UI"/>
        <family val="3"/>
        <charset val="128"/>
      </rPr>
      <t xml:space="preserve"> 差分処理が行わない
</t>
    </r>
    <phoneticPr fontId="10"/>
  </si>
  <si>
    <t>20260730 削除 変更管理#30881</t>
  </si>
  <si>
    <r>
      <t>/read_only\IF039_SmartCat_OutboundDeliveryList/etd(</t>
    </r>
    <r>
      <rPr>
        <u/>
        <sz val="10"/>
        <color rgb="FF0000FF"/>
        <rFont val="游ゴシック"/>
        <family val="2"/>
        <charset val="128"/>
      </rPr>
      <t>電子管</t>
    </r>
    <r>
      <rPr>
        <u/>
        <sz val="10"/>
        <color indexed="12"/>
        <rFont val="Arial"/>
        <family val="2"/>
      </rPr>
      <t>)
/read_only\IF039_SmartCat_OutboundDeliveryList/ssd(</t>
    </r>
    <r>
      <rPr>
        <u/>
        <sz val="10"/>
        <color rgb="FF0000FF"/>
        <rFont val="游ゴシック"/>
        <family val="2"/>
        <charset val="128"/>
      </rPr>
      <t>固体</t>
    </r>
    <r>
      <rPr>
        <u/>
        <sz val="10"/>
        <color indexed="12"/>
        <rFont val="Arial"/>
        <family val="2"/>
      </rPr>
      <t>)
/read_only\IF039_SmartCat_OutboundDeliveryList/sys(</t>
    </r>
    <r>
      <rPr>
        <u/>
        <sz val="10"/>
        <color rgb="FF0000FF"/>
        <rFont val="游ゴシック"/>
        <family val="2"/>
        <charset val="128"/>
      </rPr>
      <t>システム</t>
    </r>
    <r>
      <rPr>
        <u/>
        <sz val="10"/>
        <color indexed="12"/>
        <rFont val="Arial"/>
        <family val="2"/>
      </rPr>
      <t>)
/read_only\IF039_SmartCat_OutboundDeliveryList/lpd(</t>
    </r>
    <r>
      <rPr>
        <u/>
        <sz val="10"/>
        <color rgb="FF0000FF"/>
        <rFont val="游ゴシック"/>
        <family val="2"/>
        <charset val="128"/>
      </rPr>
      <t>レーザー</t>
    </r>
    <r>
      <rPr>
        <u/>
        <sz val="10"/>
        <color indexed="12"/>
        <rFont val="Arial"/>
        <family val="2"/>
      </rPr>
      <t>)</t>
    </r>
    <phoneticPr fontId="10"/>
  </si>
  <si>
    <r>
      <t xml:space="preserve">・通常データは事業部（プラント）、出庫日、受注先コードよりデータを分ける
・遅延データは事業部（プラント）、出庫日、受注先コードよりデータを分ける
※(事業部)プラント単位でデータを分ける。
1.電子管(1001)
2.固体(1002)
3.システム(1003)
</t>
    </r>
    <r>
      <rPr>
        <sz val="11"/>
        <rFont val="Microsoft YaHei"/>
        <family val="3"/>
        <charset val="134"/>
      </rPr>
      <t>4.レーザー(1004)</t>
    </r>
    <r>
      <rPr>
        <sz val="11"/>
        <rFont val="Meiryo UI"/>
        <family val="3"/>
        <charset val="128"/>
      </rPr>
      <t xml:space="preserve">
</t>
    </r>
    <rPh sb="7" eb="10">
      <t>ジギョウブ</t>
    </rPh>
    <rPh sb="17" eb="20">
      <t>シュッコビ</t>
    </rPh>
    <rPh sb="21" eb="24">
      <t>ジュチュウサキ</t>
    </rPh>
    <rPh sb="33" eb="34">
      <t>ワ</t>
    </rPh>
    <phoneticPr fontId="10"/>
  </si>
  <si>
    <t>・共通対応、ファイルパス定義処理へ行く
・遅延エラーデータがある場合、遅延エラーファイル名設定処理へ行く
・正常成功データがある場合、正常成功ファイル名設定処理へ行く
・遅延成功データがある場合、遅延成功ファイル名設定処理へ行く
・正常エラーデータがある場合、正常エラーファイル名設定処理へ行く
※上記分けた(事業部)プラント単位データよりファイル名、ファイルパスを決定する
1.電子管(1001)
2.固体(1002)
3.システム(1003)
4.レーザー(1004)</t>
    <rPh sb="1" eb="3">
      <t>キョウツウ</t>
    </rPh>
    <rPh sb="3" eb="5">
      <t>タイオウ</t>
    </rPh>
    <rPh sb="12" eb="14">
      <t>テイギ</t>
    </rPh>
    <rPh sb="14" eb="16">
      <t>ショリ</t>
    </rPh>
    <rPh sb="17" eb="18">
      <t>イ</t>
    </rPh>
    <rPh sb="32" eb="34">
      <t>バアイ</t>
    </rPh>
    <rPh sb="44" eb="45">
      <t>メイ</t>
    </rPh>
    <rPh sb="45" eb="47">
      <t>セッテイ</t>
    </rPh>
    <rPh sb="47" eb="49">
      <t>ショリ</t>
    </rPh>
    <rPh sb="50" eb="51">
      <t>イ</t>
    </rPh>
    <rPh sb="54" eb="56">
      <t>セイジョウ</t>
    </rPh>
    <rPh sb="56" eb="58">
      <t>セイコウ</t>
    </rPh>
    <rPh sb="87" eb="89">
      <t>セイコウ</t>
    </rPh>
    <rPh sb="149" eb="151">
      <t>ジョウキ</t>
    </rPh>
    <rPh sb="151" eb="152">
      <t>ワ</t>
    </rPh>
    <rPh sb="174" eb="175">
      <t>メイ</t>
    </rPh>
    <rPh sb="183" eb="185">
      <t>ケッテイ</t>
    </rPh>
    <phoneticPr fontId="10"/>
  </si>
  <si>
    <t>Ex_DocTypeList</t>
    <phoneticPr fontId="10"/>
  </si>
  <si>
    <t>Ex_ShippingPointList</t>
    <phoneticPr fontId="10"/>
  </si>
  <si>
    <t>Ex_BlockReasonList</t>
    <phoneticPr fontId="10"/>
  </si>
  <si>
    <t>Ex_ItemCategory</t>
    <phoneticPr fontId="10"/>
  </si>
  <si>
    <t xml:space="preserve">/read_only\IF039_SmartCat_OutboundDeliveryList/etd(電子管)
</t>
    <phoneticPr fontId="10"/>
  </si>
  <si>
    <t xml:space="preserve">/read_only\IF039_SmartCat_OutboundDeliveryList/ssd(固体)
</t>
    <phoneticPr fontId="10"/>
  </si>
  <si>
    <t xml:space="preserve">/read_only\IF039_SmartCat_OutboundDeliveryList/sys(システム)
</t>
    <phoneticPr fontId="10"/>
  </si>
  <si>
    <t>/read_only\IF039_SmartCat_OutboundDeliveryList/lpd(レーザー)</t>
    <phoneticPr fontId="10"/>
  </si>
  <si>
    <t>Ex_FilePath_etd</t>
    <phoneticPr fontId="10"/>
  </si>
  <si>
    <t>Ex_FilePath_ssd</t>
    <phoneticPr fontId="10"/>
  </si>
  <si>
    <t>Ex_FilePath_sys</t>
    <phoneticPr fontId="10"/>
  </si>
  <si>
    <t>Ex_FilePath_lpd</t>
    <phoneticPr fontId="10"/>
  </si>
  <si>
    <t>出荷伝票タイプ</t>
    <rPh sb="0" eb="4">
      <t>シュッカデンピョウ</t>
    </rPh>
    <phoneticPr fontId="10"/>
  </si>
  <si>
    <t>出荷ポイント</t>
    <rPh sb="0" eb="2">
      <t>シュッカ</t>
    </rPh>
    <phoneticPr fontId="10"/>
  </si>
  <si>
    <t>有償支給(国内)(1111)、有償支給(外部からBHP)(1113)、本社(1001)</t>
    <phoneticPr fontId="10"/>
  </si>
  <si>
    <t xml:space="preserve"> 'Z7' 、'Z9'</t>
    <phoneticPr fontId="10"/>
  </si>
  <si>
    <t>出荷ブロック</t>
    <phoneticPr fontId="10"/>
  </si>
  <si>
    <t xml:space="preserve">標準出荷(Z100)、海外発送依頼(Z101)、標準無償出荷(Z102)、在庫転送(プラント間)(Z130)、有償材料支給(Z132)、無償材料支給(Z134) </t>
    <phoneticPr fontId="10"/>
  </si>
  <si>
    <t>Z1AA'(仕入先直送) and 'Z1BA'(無償費用 仕入先直送) and 'Z1KA'(無償 仕入先直送) and　'Z1C7'(預託引渡 BOM子) and 'Z1A7'(子BOM)</t>
    <phoneticPr fontId="10"/>
  </si>
  <si>
    <t>明細カテゴリ</t>
    <rPh sb="0" eb="2">
      <t>メイサイ</t>
    </rPh>
    <phoneticPr fontId="10"/>
  </si>
  <si>
    <t>ファイルパス</t>
    <phoneticPr fontId="10"/>
  </si>
  <si>
    <t>v1.03変更</t>
    <rPh sb="5" eb="7">
      <t>ヘンコウ</t>
    </rPh>
    <phoneticPr fontId="10"/>
  </si>
  <si>
    <t>v1.03追加</t>
    <rPh sb="5" eb="7">
      <t>ツイカ</t>
    </rPh>
    <phoneticPr fontId="10"/>
  </si>
  <si>
    <t>Ex_Plant</t>
    <phoneticPr fontId="10"/>
  </si>
  <si>
    <t>電子管(1001)、HPJ(1006)、固体(1002)、システム(1003)、レーザー(1004)</t>
    <phoneticPr fontId="10"/>
  </si>
  <si>
    <t xml:space="preserve">■下記の条件より対象出荷伝票の取得
・出荷伝票は不完全ではないこと('C'(完全))
・出荷明細は不完全ではないこと('C'(完全))
・出荷伝票は与信ブロックが設定されていないこと
　((与信ステータス)&lt;&gt;'B'、'C'(与信限度確認NG))
・出荷明細に未出庫数量があること
  (在庫移動ステータス&lt;&gt;'C')
・通常の出荷リストデータ
　積載日=システム日付
・営業承認遅延の出荷リストデータ
　登録日が昨日、且つ積載日が過去日付
・抽出対象の出荷伝票タイプ
・標準出荷(Z100)、海外発送依頼(Z101)、標準無償出荷(Z102)、在庫転送(Z130)
  有償材料支給(Z132)、無償材料支給(Z134)
抽出対象の出荷ポイント
※抽出対象外として有償支給(国内)(1111)と有償支給(外部からBHP)(1113)と本社(1001)
・処理対象外明細カテゴリはBOM子および仕入先直送の明細カテゴリは除外する。
　明細カテゴリ&lt;&gt;  'Z1AA'(仕入先直送) and 'Z1BA'(無償費用 仕入先直送) and 'Z1KA'(無償 仕入先直送) and　'Z1C7'(預託引渡 BOM子) and 'Z1A7'(子BOM)
・出荷ブロックがブランクとなっている、または二段階承認用の出荷ブロックが設定されている出荷伝票は抽出対象外とする。
　出荷ブロック&lt;&gt;SPACE、'Z7'、と'Z9'
・プラント
　電子管(1001)、HPJ(1006)、固体(1002)、システム(1003)、レーザー(1004)
</t>
    <phoneticPr fontId="39" type="noConversion"/>
  </si>
  <si>
    <t>外部パラメータ定義</t>
    <phoneticPr fontId="10"/>
  </si>
  <si>
    <t>Attachment出力処理
※受入後対応予定</t>
    <rPh sb="10" eb="12">
      <t>シュツリョク</t>
    </rPh>
    <rPh sb="12" eb="14">
      <t>ショリ</t>
    </rPh>
    <phoneticPr fontId="10"/>
  </si>
  <si>
    <t>エラー発生時のPayloadをAttachMentに出力する</t>
    <phoneticPr fontId="10"/>
  </si>
  <si>
    <t>事業部_YYYYMMDD（出庫日）_夜間_国内出荷リスト_success_YYYYMMDDhhmmss.csv
※事業部はプラントより決定する
etd：電子管(1001)、HPJ(1006)
ssd：固体(1002)
sys：システム(1003)
lpd：レーザー(1004)</t>
    <phoneticPr fontId="10"/>
  </si>
  <si>
    <t>営業承認遅延_事業部_YYYYMMDD（出庫日）_夜間_国内出荷リスト_success_YYYYMMDDhhmmss.csv
※事業部はプラントより決定する
etd：電子管(1001)、HPJ(1006)
ssd：固体(1002)
sys：システム(1003)
lpd：レーザー(1004)</t>
    <phoneticPr fontId="10"/>
  </si>
  <si>
    <t>事業部_YYYYMMDD（出庫日）_日中_国内出荷リスト_error_YYYYMMDDhhmmss.csv
※事業部はプラントより決定する
etd：電子管(1001)、HPJ(1006)
ssd：固体(1002)
sys：システム(1003)
lpd：レーザー(1004)</t>
    <phoneticPr fontId="10"/>
  </si>
  <si>
    <t>営業承認遅延_事業部_YYYYMMDD（出庫日）_日中_国内出荷リスト_error_YYYYMMDDhhmmss.csv
※事業部はプラントより決定する
etd：電子管(1001)、HPJ(1006)
ssd：固体(1002)
sys：システム(1003)
lpd：レーザー(1004)</t>
    <phoneticPr fontId="10"/>
  </si>
  <si>
    <t>営業承認遅延_事業部_YYYYMMDD（出庫日）_夜間_国内出荷リスト_error_YYYYMMDDhhmmss.csv
※事業部はプラントより決定する
etd：電子管(1001)、HPJ(1006)
ssd：固体(1002)
sys：システム(1003)
lpd：レーザー(1004)</t>
    <phoneticPr fontId="10"/>
  </si>
  <si>
    <t>事業部_YYYYMMDD（出庫日）_夜間_国内出荷リスト_error_YYYYMMDDhhmmss.csv
※事業部はプラントより決定する
etd：電子管(1001)、HPJ(1006)
ssd：固体(1002)
sys：システム(1003)
lpd：レーザー(1004)</t>
    <phoneticPr fontId="10"/>
  </si>
  <si>
    <t>営業承認遅延_事業部_YYYYMMDD（出庫日）_日中_国内出荷リスト_success_YYYYMMDDhhmmss.csv
※事業部はプラントより決定する
etd：電子管(1001)、HPJ(1006)
ssd：固体(1002)
sys：システム(1003)
lpd：レーザー(1004)</t>
    <phoneticPr fontId="10"/>
  </si>
  <si>
    <t>事業部_YYYYMMDD（出庫日）_日中_国内出荷リスト_success_YYYYMMDDhhmmss.csv
※事業部はプラントより決定する
etd：電子管(1001)、HPJ(1006)
ssd：固体(1002)
sys：システム(1003)
lpd：レーザー(1004)</t>
    <phoneticPr fontId="10"/>
  </si>
  <si>
    <t>ZSDTLX_0001</t>
    <phoneticPr fontId="10"/>
  </si>
  <si>
    <t>TEXT</t>
    <phoneticPr fontId="10"/>
  </si>
  <si>
    <t>ZSDTLX_0002</t>
    <phoneticPr fontId="10"/>
  </si>
  <si>
    <t>テキストIDはZ108、言語はJAの出荷指図(ヘッダ)データ</t>
    <phoneticPr fontId="10"/>
  </si>
  <si>
    <t>テキストIDはZ202、言語はJAの出荷指図(明細)データ</t>
    <phoneticPr fontId="10"/>
  </si>
  <si>
    <t>但し、規制関連情報全てが出力される
※テキストIDはZ200、言語はID(インドネシア語)の規制関連情報データ</t>
    <phoneticPr fontId="10"/>
  </si>
  <si>
    <t>上記取得の出荷リスト情報の通常データまたは遅延データより下記の処理を行い、出荷指図(ヘッダテキストと明細テキスト)、規制関連情報を取得する。
a. 出荷指図ヘッダテキストの取得
    ZSDTLX_0001から
(取得条件)
    テキストオブジェクト(ZSDTLX_0001-TDOBJECT)=VBBK
    名称(ZSDTLX_0001-TDNAME)=出荷伝票番号と明細番号の結合
    テキストID(ZSDTLX_0001-TDID)=Z108
    言語キー(ZSDTLX_0001-TDSPRAS)=JA
(取得項目)
    出荷指図ヘッダテキスト(ZSDTLX_0001-TEXT)
b. 出荷指図明細テキストの取得
(取得条件)
    テキストオブジェクト(ZSDTLX_0002-TDOBJECT)=VBBP
    名称(ZSDTLX_0002-TDNAME)=出荷伝票番号と明細番号の結合
    伝票番号(ZSDTLX_0002-VBELN)=出荷伝票番号
　　明細番号(ZSDTLX_0002-POSNR)=明細番号
    テキストID(ZSDTLX_0002-TDID)=Z202
    言語キー(ZSDTLX_0002-TDSPRAS)=JA
(取得項目)
    出荷指図明細テキスト(ZSDTLX_0002-TEXT)
 c.規制関連情報の取得
(取得条件)
　　 テキストオブジェクト(ZSDTLX_0002-TDOBJECT)=VBBP
    名称(ZSDTLX_0002-TDNAME)=出荷伝票番号と明細番号の結合
    伝票番号(ZSDTLX_0002-VBELN)=出荷伝票番号
　　明細番号(ZSDTLX_0002-POSNR)=明細番号
    テキストID(ZSDTLX_0002-TDID)=Z200
    言語キー(ZSDTLX_0002-TDSPRAS)=ID
(取得項目)
　　規制関連情報(ZSDTLX_0002-TEXT)
　　</t>
    <phoneticPr fontId="10"/>
  </si>
  <si>
    <t>・受注伝票の伝票タイプより伝票タイプテキスト取得
・購買伝票タイプテキスト
購買伝票タイプに対するテキストテーブルの購買伝票タイプと言語キー：JAを基に、購買伝票タイプテキストを取得する。
・購買グループテキスト
購買グループテーブルの購買グループより、購買グループテキストを取得する。
・品目Grp1のテキスト取得(該非-輸出令)
　品目グループ１より品目価格設定グループ１:テキストからテキストを取得する
・テキスト内容を取得
a. 出荷指図ヘッダテキストの取得
b. 出荷指図明細テキストの取得
c.規制関連情報明細テキストの取得</t>
    <phoneticPr fontId="39" type="noConversion"/>
  </si>
  <si>
    <r>
      <t xml:space="preserve">出荷リスト情報データを取得する。
(結合条件)
IF_C_SalesDocumentItemDEX_1-SALESDOCUMENT(受注伝票番号)=IF_I_DeliveryDocumentItem-REFERENCESDDOCUMENT(出荷明細の参照伝票番号)
IF_I_DeliveryDocumentItem-DELIVERYDOCUMENT(出荷明細データの伝票番号)=IF_I_DeliveryDocument-DELIVERYDOCUMENT(出荷ヘッダデータの伝票番号)
IF_I_Product-PRODUCT(一般商品データの品目コード)=IF_I_DeliveryDocumentItem-MATERIAL(出荷明細の品目)
IF_C_SalesDocumentItemDEX_1-SALESDOCUMENTITEM(販売伝票：明細データ-明細番号)=IF_I_DeliveryDocumentItem-REFERENCESDDOCUMENTITEM(出荷明細の参照伝票明細番号)
IF_ZI_XA_CustMatInfoRec-SALESORGANIZATION(得意先/品目情報の販売組織)=IF_C_SalesDocumentItemDEX_1-SALESORGANIZATION(受注ヘッダデータの販売組織)
IF_ZI_XA_CustMatInfoRec-DISTRIBUTIONCHANNEL(得意先/品目情報の流通チャネル)=IF_C_SalesDocumentItemDEX_1-DISTRIBUTIONCHANNEL(受注ヘッダの流通チャネル)
IF_ZI_XA_CustMatInfoRec-CUSTOMER(得意先/品目情報の受注先)=IF_C_SalesDocumentItemDEX_1-SOLDTOPARTY(受注ヘッダの受注先)
IF_ZI_XA_CustMatInfoRec-MATERIAL(得意先/品目情報の品目)=IF_C_SalesDocumentItemDEX_1-MATERIAL(出荷明細の品目)
IF_ZI_SD_SalesDocPartner-SALESDOCUMENT(販売伝票:取引先の伝票番号)=IF_I_DeliveryDocumentItem-DELIVERYDOCUMENT(出荷明細データの伝票番号)
IF_I_Customer-CUSTOMER(得意先マスタの得意先コード)=IF_ZI_SD_SalesDocPartner-CUSTOMER(得意先コード)
</t>
    </r>
    <r>
      <rPr>
        <b/>
        <sz val="9"/>
        <rFont val="Meiryo UI"/>
        <family val="3"/>
        <charset val="128"/>
      </rPr>
      <t>IF_I_BusinessPartne</t>
    </r>
    <r>
      <rPr>
        <sz val="9"/>
        <rFont val="Meiryo UI"/>
        <family val="3"/>
        <charset val="128"/>
      </rPr>
      <t xml:space="preserve">r-BUSINESSPARTNER(ビジネスパートナ番号)=IF_I_Customer-CUSTOMER(得意先マスタの得意先コード)
IF_C_PurchaseOrderItemDEX-PURCHASEORDER(購買伝票ヘッダの伝票番号)=IF_I_DeliveryDocumentItem-REFERENCESDDOCUMENT(出荷明細の参照伝票番号)
IF_PerPersonal-personIdExternal(Person ID External) = IF_C_SalesDocumentItemDEX_1-ZZCreatedByUser(受注登録者)
(取得条件)
IF_ZI_XA_AddrOrgPostalAddr-NATION(国際アドレスのバージョン ID)=I(国際版)
IF_ZI_SD_SalesDocPartner-PARTNERFUNCTION(取引先機能)=受注先「SP(AG)」 or 出荷先「SH(WE)」 or 計画集計対象「ZC」
</t>
    </r>
    <r>
      <rPr>
        <b/>
        <sz val="9"/>
        <rFont val="Meiryo UI"/>
        <family val="3"/>
        <charset val="128"/>
      </rPr>
      <t xml:space="preserve">(IF_ZI_SD_SalesDocPartner-US_FRGNACCTTAXRCPNTCNTRY(国/地域コード)&lt;&gt;'JP'　AND
IF_ZI_SD_SalesDocPartner-PARTNERFUNCTION(取引先機能)= 出荷先「SH(WE)」)
</t>
    </r>
    <r>
      <rPr>
        <sz val="9"/>
        <rFont val="Meiryo UI"/>
        <family val="3"/>
        <charset val="128"/>
      </rPr>
      <t xml:space="preserve">IF_I_DeliveryDocument-HDRGENERALINCOMPLETIONSTATUS( 不完全ステータス(ヘッダ))='C'(完全)
IF_I_DeliveryDocumentItem-ITEMGENERALINCOMPLETIONSTATUS(不完全ステータス(明細))='C'(完全)
IF_I_DeliveryDocument-TOTALCREDITCHECKSTATUS(与信ステータス)&lt;&gt;'B' and 'C'(与信ブロック)※与信限度確認を実行済：伝票NG
IF_I_DeliveryDocumentItem-GOODSMOVEMENTSTATUS(在庫移動ステータス)&lt;&gt;'C'
</t>
    </r>
    <r>
      <rPr>
        <b/>
        <sz val="9"/>
        <rFont val="Meiryo UI"/>
        <family val="3"/>
        <charset val="128"/>
      </rPr>
      <t xml:space="preserve">IF_I_DeliveryDocumentItem-PLANT=電子管(1001)、HPJ(1006)、固体(1002)、システム(1003)、レーザー(1004)
</t>
    </r>
    <r>
      <rPr>
        <sz val="9"/>
        <rFont val="Meiryo UI"/>
        <family val="3"/>
        <charset val="128"/>
      </rPr>
      <t xml:space="preserve">
</t>
    </r>
    <phoneticPr fontId="10"/>
  </si>
  <si>
    <r>
      <t xml:space="preserve">(取得項目)
出荷ポイント(IF_I_DeliveryDocument-SHIPPINGPOINT)
出荷伝票タイプ(IF_I_DeliveryDocument-DELIVERYDOCUMENTTYPE)※※出力ファイル項目用ではない、ソート用
品目コード(IF_I_DeliveryDocumentItem-MATERIAL)
責任原価センタ（製造）(IF_I_Product-ZZ1_COSTC_MANUz2_PRD)
製品DB型名(IF_I_Product-ZZ1_DB_Name_PRD_PRD)
出庫予定日付(IF_I_DeliveryDocument-PLANNEDGOODSISSUEDATE)
積載日付(IF_I_DeliveryDocument-LoadingDate)
インコタームズ(IF_I_DeliveryDocument-IncotermsClassification)
受注先(IF_I_DeliveryDocument-SOLDTOPARTY)
得意先参照(IF_C_SalesDocumentItemDEX_1-PURCHASEORDERBYCUSTOMER)
出荷伝票番号(IF_I_DeliveryDocumentItem-DELIVERYDOCUMENT)
出荷明細番号(IF_I_DeliveryDocumentItem-DELIVERYDOCUMENTITEM)
明細テキスト(IF_I_DeliveryDocumentItem-SALESDOCUMENTITEMTEXT)：社内型名
出荷数量実績(IF_I_DeliveryDocumentItem-ACTUALDELIVERYQUANTITY)
参照伝票番号(IF_I_DeliveryDocumentItem-REFERENCESDDOCUMENT(出荷明細の参照伝票番号))
参照明細番号(IF_I_DeliveryDocumentItem-REFERENCESDDOCUMENTITEM(出荷明細の参照伝票明細番号)
品目Grp1(該非-輸出令)(IF_I_DeliveryDocumentItem-ADDITIONALMATERIALGROUP1)
登録担当者(IF_C_SalesDocumentItemDEX_1-ZZCreatedByUser)
得意先が使用する品目コード(社外型名)(IF_ZI_XA_CustMatInfoRec-KNMTA_MATERIALDESCRBYCUSTOMER)
取引先機能(IF_ZI_SD_SalesDocPartner-PARTNERFUNCTION)
国/地域コード(IF_ZI_SD_SalesDocPartner-US_FRGNACCTTAXRCPNTCNTRY)
得意先マスタの取引先の会社ID(IF_I_Customer-TRADINGPARTNER)
検索語句1(IF_I_BusinessPartner-SEARCHTERM1)※出力項目用
名称1(IF_ZI_XA_AddrOrgPostalAddr-AddresseeName1)
名称2(IF_ZI_XA_AddrOrgPostalAddr-AddresseeName2)
プラント(IF_I_DeliveryDocumentItem-PLANT)※出力ファイル項目用ではない、ファイル出力事業部名称分岐用
受注ヘッダデータの伝票タイプ(IF_C_SalesDocumentItemDEX_1-SALESDOCUMENTTYPE)※テキスト取得用
購買伝票ヘッダのグループ(IF_C_PurchaseOrderItemDEX-PURCHASINGGROUP)※テキスト取得用
購買伝票ヘッダの伝票タイプ(IF_C_PurchaseOrderItemDEXt-PURCHASEORDERTYPE)※テキスト取得用
社内名英字(IF_PerPersona-businessFirstNameAlt2)
社内姓英字(IF_PerPersona-businessLastNameAlt2)
</t>
    </r>
    <r>
      <rPr>
        <b/>
        <sz val="9"/>
        <rFont val="Meiryo UI"/>
        <family val="3"/>
        <charset val="128"/>
      </rPr>
      <t>・対象データがない場合、処理が正常終了する
・対象データがある場合、後続処理へ行く</t>
    </r>
    <rPh sb="51" eb="55">
      <t>シュッカデンピョウ</t>
    </rPh>
    <rPh sb="121" eb="122">
      <t>ヨウ</t>
    </rPh>
    <rPh sb="1480" eb="1483">
      <t>シュトクヨウ</t>
    </rPh>
    <rPh sb="1486" eb="1488">
      <t>デンピョウ</t>
    </rPh>
    <rPh sb="1619" eb="1621">
      <t>エイジ</t>
    </rPh>
    <rPh sb="1662" eb="1664">
      <t>エイジ</t>
    </rPh>
    <rPh sb="1713" eb="1715">
      <t>ショリ</t>
    </rPh>
    <rPh sb="1716" eb="1720">
      <t>セイジョウシュウリョウ</t>
    </rPh>
    <phoneticPr fontId="10"/>
  </si>
  <si>
    <r>
      <t xml:space="preserve">上記取得の出荷リスト情報の通常データまたは遅延データより下記の処理を行い、マッピング定義を参照し、出荷リスト情報を加工する。
IF定義のプロセス内容も参照し、出力ファイルのデータを加工する。
マッピング定義L列No.1(出荷場所)
出荷ポイント(IF_I_DeliveryDocument-SHIPPINGPOINT)を出荷場所に設定する
マッピング定義L列No.2(受注No.)
　参照伝票番号(IF_I_DeliveryDocumentItem-REFERENCESDDOCUMENT)と参照明細番号(IF_I_DeliveryDocumentItem-REFERENCESDDOCUMENTITEM)をハイフンで繋げて受注番号に設定
マッピング定義L列No.3(出荷No.) 
　出荷伝票番号(IF_I_DeliveryDocumentItem-DELIVERYDOCUMENT)と出荷明細番号(IF_I_DeliveryDocumentItem-DELIVERYDOCUMENTITEM)をハイフンで繋げる
マッピング定義L列No.4(受注方法) 
   販売伝票タイプテキスト(IF_I_SalesDocumentTypeText-SALESDOCUMENTTYPENAME)を受注方法に設定する。※在庫転送以外設定
　 </t>
    </r>
    <r>
      <rPr>
        <b/>
        <sz val="9"/>
        <rFont val="Meiryo UI"/>
        <family val="3"/>
        <charset val="128"/>
      </rPr>
      <t>※テキスト取得できない場合、エラーデータに格納する。次のデータへ処理へ行く
　　「受注方法(販売伝票タイプテキスト)が取得できません。　出荷伝票番号:出荷伝票番号の値　明細番号:明細番号の値」</t>
    </r>
    <r>
      <rPr>
        <sz val="9"/>
        <rFont val="Meiryo UI"/>
        <family val="3"/>
        <charset val="128"/>
      </rPr>
      <t xml:space="preserve">
マッピング定義L列No.4(受注方法)
  出荷タイプ「Z130」プラント間在庫転送場合、「Z134」無償材料支給の場合、IF_I_PurchasingDocumentTypeText-PURCHASINGDOCUMENTTYPENAME(購買伝票タイプテキスト)を設定する。
　　</t>
    </r>
    <r>
      <rPr>
        <b/>
        <sz val="9"/>
        <rFont val="Meiryo UI"/>
        <family val="3"/>
        <charset val="128"/>
      </rPr>
      <t xml:space="preserve"> ※テキスト取得できない場合、エラーデータに格納する。次のデータへ処理へ行く
　　「受注方法(購買伝票タイプテキスト)が取得できません。　出荷伝票番号:出荷伝票番号の値　明細番号:明細番号の値」</t>
    </r>
    <r>
      <rPr>
        <sz val="9"/>
        <rFont val="Meiryo UI"/>
        <family val="3"/>
        <charset val="128"/>
      </rPr>
      <t xml:space="preserve">
マッピング定義L列No.5(受注先コード)
  受注先(IF_I_DeliveryDocument-SOLDTOPARTY) を受注先コードに設定する。※出荷タイプが在庫転送の場合、ブランクとする。
</t>
    </r>
    <r>
      <rPr>
        <b/>
        <sz val="9"/>
        <rFont val="Meiryo UI"/>
        <family val="3"/>
        <charset val="128"/>
      </rPr>
      <t>現法の場合、略称を出力する。
受注先会社名、ユーザ会社名、届出先会社名※現法略称を出力</t>
    </r>
    <r>
      <rPr>
        <sz val="9"/>
        <rFont val="Meiryo UI"/>
        <family val="3"/>
        <charset val="128"/>
      </rPr>
      <t xml:space="preserve">
</t>
    </r>
    <r>
      <rPr>
        <b/>
        <sz val="9"/>
        <rFont val="Meiryo UI"/>
        <family val="3"/>
        <charset val="128"/>
      </rPr>
      <t xml:space="preserve">※(IF_ZI_SD_SalesDocPartner-PARTNERFUNCTION(取引先機能)= 出荷先「SH(WE)」  AND IF_ZI_SD_SalesDocPartner-US_FRGNACCTTAXRCPNTCNTRY(国/地域コード))がJP以外の場合、取引先の会社ID(IF_I_Customer-TRADINGPARTNER)が空白ではない場合、
</t>
    </r>
    <r>
      <rPr>
        <sz val="9"/>
        <rFont val="Meiryo UI"/>
        <family val="3"/>
        <charset val="128"/>
      </rPr>
      <t>マッピング定義L列No.6(受注先会社名)
・取引先機能(IF_ZI_SD_SalesDocPartner-PARTNERFUNCTION)が受注先「SP(AG)」  の場合、取引先の会社ID(IF_I_Customer-TRADINGPARTNER)の値がある場合、検索語句1(IF_I_BusinessPartner-SEARCHTERM1)の値を受注先会社名に設定する。
　</t>
    </r>
    <r>
      <rPr>
        <b/>
        <sz val="9"/>
        <rFont val="Meiryo UI"/>
        <family val="3"/>
        <charset val="128"/>
      </rPr>
      <t>※取得できない場合、エラーデータに格納する。次のデータへ処理へ行く
　　「受注先会社名が取得できません。出荷伝票番号:出荷伝票番号の値　明細番号:明細番号の値」</t>
    </r>
    <r>
      <rPr>
        <sz val="9"/>
        <rFont val="Meiryo UI"/>
        <family val="3"/>
        <charset val="128"/>
      </rPr>
      <t xml:space="preserve">
</t>
    </r>
    <rPh sb="45" eb="47">
      <t>サンショウ</t>
    </rPh>
    <rPh sb="57" eb="59">
      <t>カコウ</t>
    </rPh>
    <rPh sb="72" eb="74">
      <t>ナイヨウ</t>
    </rPh>
    <rPh sb="75" eb="77">
      <t>サンショウ</t>
    </rPh>
    <rPh sb="90" eb="92">
      <t>カコウ</t>
    </rPh>
    <rPh sb="721" eb="723">
      <t>バアイ</t>
    </rPh>
    <rPh sb="1358" eb="1359">
      <t>アタイ</t>
    </rPh>
    <rPh sb="1362" eb="1364">
      <t>バアイ</t>
    </rPh>
    <phoneticPr fontId="10"/>
  </si>
  <si>
    <r>
      <t>マッピング定義L列No.7(ユーザ会社名)
・取引先機能(IF_ZI_SD_SalesDocPartner-PARTNERFUNCTION)が計画集計対象「ZC」 の場合、検語句1(IF_I_BusinessPartner-SEARCHTERM1)の値をユーザ会社名に設定する。
　</t>
    </r>
    <r>
      <rPr>
        <b/>
        <sz val="9"/>
        <rFont val="Meiryo UI"/>
        <family val="3"/>
        <charset val="128"/>
      </rPr>
      <t>※取得できない場合、エラーデータに格納する。次のデータへ処理へ行く
　　「ユーザ会社名が取得できません。出荷伝票番号:出荷伝票番号の値　明細番号:明細番号の値」</t>
    </r>
    <r>
      <rPr>
        <sz val="9"/>
        <rFont val="Meiryo UI"/>
        <family val="3"/>
        <charset val="128"/>
      </rPr>
      <t xml:space="preserve">
マッピング定義L列No.8(届出先会社名)
　取引先機能(IF_ZI_SD_SalesDocPartner-PARTNERFUNCTION)が出荷先「SH(WE)」 の場合、且つ検索語句1(IF_I_BusinessPartner-SEARCHTERM1)の値を届出先会社名に設定する。
</t>
    </r>
    <r>
      <rPr>
        <b/>
        <sz val="9"/>
        <rFont val="Meiryo UI"/>
        <family val="3"/>
        <charset val="128"/>
      </rPr>
      <t xml:space="preserve">※取得できない場合、エラーデータに格納する。次のデータへ処理へ行く
　　「届出先会社名が取得できません。出荷伝票番号:出荷伝票番号の値　明細番号:明細番号の値」
現法以外の場合
※(IF_ZI_SD_SalesDocPartner-PARTNERFUNCTION(取引先機能)= 出荷先「SH(WE)」  AND IF_ZI_SD_SalesDocPartner-US_FRGNACCTTAXRCPNTCNTRY(国/地域コード))がJP以外の場合、取引先の会社ID(IF_I_Customer-TRADINGPARTNER)が空白の場合、
マッピング定義L列No.6(受注先会社名)
・取引先機能(IF_ZI_SD_SalesDocPartner-PARTNERFUNCTION)が受注先「SP(AG)」  の場合、
 受注先の名称1(IF_ZI_XA_AddrOrgPostalAddr-AddresseeName1)と名称2(IF_ZI_XA_AddrOrgPostalAddr-AddresseeName2)を結合してを受注先会社名に設定する。
・マッピング定義L列No.7(ユーザ会社名)
・取引先機能(IF_ZI_SD_SalesDocPartner-PARTNERFUNCTION)が計画集計対象「ZC」 の場合、
　　計画集計対象の名称1(IF_ZI_XA_AddrOrgPostalAddr-AddresseeName1)と名称2(IF_ZI_XA_AddrOrgPostalAddr-AddresseeName2)を結合してユーザ会社名に設定する。
　※取得できない場合、エラーデータに格納する。次のデータへ処理へ行く
　　「ユーザ会社名が取得できません。出荷伝票番号:出荷伝票番号の値　明細番号:明細番号の値」
マッピング定義L列No.8(届出先会社名)
・取引先機能(IF_ZI_SD_SalesDocPartner-PARTNERFUNCTION)が出荷先「SH(WE)」 の場合、
　出荷先の名称1(IF_ZI_XA_AddrOrgPostalAddr-AddresseeName1)と名称2(IF_ZI_XA_AddrOrgPostalAddr-AddresseeName2)を結合して届出先会社名に設定する。
※取得できない場合、エラーデータに格納する。次のデータへ処理へ行く
　　「届出先会社名が取得できません。出荷伝票番号:出荷伝票番号の値　明細番号:明細番号の値」
</t>
    </r>
    <r>
      <rPr>
        <sz val="9"/>
        <rFont val="Meiryo UI"/>
        <family val="3"/>
        <charset val="128"/>
      </rPr>
      <t xml:space="preserve">
マッピング定義L列No.9(インコタームズ)
  インコタームズ(IF_I_DeliveryDocument-INCOTERMSCLASSIFICATION)
マッピング定義L列No.10(得意先参照→注文番号)
　得意先参照(IF_C_SalesDocumentItemDEX_1-PURCHASEORDERBYCUSTOMER)の値がある場合、注文番号に設定する。
　※出荷タイプが在庫転送の場合、ブランクとする。
マッピング定義L列No.11(責任原価センタ（製造））→経費コード)
  責任原価センタ（製造）(IF_I_Product-ZZ1_COSTC_MANUz2_PRD)を経費コードに設定する。
マッピング定義L列No.12(明細テキスト→社内型名)
　 明細テキスト(IF_I_DeliveryDocumentItem-SALESDOCUMENTITEMTEXT)を社内型名に設定する。
</t>
    </r>
    <r>
      <rPr>
        <b/>
        <sz val="9"/>
        <rFont val="Meiryo UI"/>
        <family val="3"/>
        <charset val="128"/>
      </rPr>
      <t>※社内型名取得できない場合、エラーデータに格納する。次のデータへ処理へ行く
　「社内型名が取得できません。　出荷伝票番号　明細番号出荷伝票番号:出荷伝票番号の値　明細番号:明細番号の値」</t>
    </r>
    <r>
      <rPr>
        <sz val="9"/>
        <rFont val="Meiryo UI"/>
        <family val="3"/>
        <charset val="128"/>
      </rPr>
      <t xml:space="preserve">
</t>
    </r>
    <rPh sb="634" eb="636">
      <t>バアイ</t>
    </rPh>
    <rPh sb="728" eb="731">
      <t>ジュチュウサキ</t>
    </rPh>
    <rPh sb="1825" eb="1826">
      <t>ナイ</t>
    </rPh>
    <phoneticPr fontId="10"/>
  </si>
  <si>
    <r>
      <t xml:space="preserve">マッピング義L列No.13(追加得意先品目コード→社外型名)
　 得意先が使用する品目コード(社外型名)(IF_ZI_XA_CustMatInfoRec-KNMTA_MATERIALDESCRBYCUSTOMER)の値がある場合を社外型名に設定する。
マッピング義L列No.13(製品DB型名→社外型名)
　 得意先が使用する品目コードがない場合、製品DB型名(IF_I_Product-ZZ1_DB_NAME_PRD_PRD)を社外型名に設定する。
マッピング義L列No.13(明細テキスト→社外型名)
   得意先が使用する品目コードと製品DB型名(IF_I_Product-ZZ1_DB_NAME_PRD_PRD)がない場合、
　 明細テキスト(IF_I_DeliveryDocumentItem-SALESDOCUMENTITEMTEXT)を社外型名に設定する。
</t>
    </r>
    <r>
      <rPr>
        <b/>
        <sz val="9"/>
        <rFont val="Meiryo UI"/>
        <family val="3"/>
        <charset val="128"/>
      </rPr>
      <t>※社外型名取得できない場合、エラーデータに格納する。次のデータへ処理へ行く
　　「社外型名が取得できません。　出荷伝票番号:出荷伝票番号の値　明細番号:明細番号の値」</t>
    </r>
    <r>
      <rPr>
        <sz val="9"/>
        <rFont val="Meiryo UI"/>
        <family val="3"/>
        <charset val="128"/>
      </rPr>
      <t xml:space="preserve">
マッピング義L列No.14(出荷数量→数量)
    出荷数量実績(IF_I_DeliveryDocumentItem-ACTUALDELIVERYQUANTITY)を数量に設定する。
マッピング義L列No.15(品目Grp1→該非-輸出令)
    品目Grp1(該非-輸出令)テキスト(IF_I_DeliveryDocumentItem-ADDITIONALMATERIALGROUP1)
マッピング義L列No.16(出庫予定日→出荷日)
    出庫予定日付(IF_I_DeliveryDocument-PLANNEDGOODSISSUEDATE)を出荷日に設定する。
マッピング義L列No.17(ロングテキスト-出荷指図ヘッダ/テキスト→摘要欄)
　ロングテキストの出荷指図ヘッダテキストと明細テキストを結合して摘要欄に設定する。
マッピング義L列No.18(ロングテキスト-品目販売テキスト(規制関連情報)→規制関連情報)
マッピング義L列No.19(姓と名→受注伝票発行者)※出荷タイプが在庫転送以外の場合
　社内姓(IF_PerPersona-businessLastName)と社内名(IF_PerPersona-businessFirstName)を半角スペースで結合し、設定する。※DSP配置予定
マッピング定義L列No.19(購買グループテキスト→受注伝票発行者) ※出荷タイプが在庫転送の場合
  IF_I_PurchasingGroup-PURCHASINGGROUPNAME(購買グループテキスト)
　</t>
    </r>
    <r>
      <rPr>
        <b/>
        <sz val="9"/>
        <rFont val="Meiryo UI"/>
        <family val="3"/>
        <charset val="128"/>
      </rPr>
      <t>※取得できない場合、エラーデータに格納する。次のデータへ処理へ行く
　「購買グループテキストが取得できません。　出荷伝票番号:出荷伝票番号の値　明細番号:明細番号の値」</t>
    </r>
    <r>
      <rPr>
        <sz val="9"/>
        <rFont val="Meiryo UI"/>
        <family val="3"/>
        <charset val="128"/>
      </rPr>
      <t xml:space="preserve">
</t>
    </r>
    <rPh sb="862" eb="866">
      <t>ヒンモクハンバイ</t>
    </rPh>
    <rPh sb="903" eb="904">
      <t>メイ</t>
    </rPh>
    <phoneticPr fontId="10"/>
  </si>
  <si>
    <t>HTTPのリクエストから受け取った値をPropertyに格納する。
・’Prop_Input_reprocessFlag’：再実行用フラグ
・条件用固定値の取得
・ファイルパスの取得</t>
    <rPh sb="62" eb="66">
      <t>サイジッコウヨウ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</si>
</sst>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0"/>
      <color theme="1"/>
      <name val="メイリオ"/>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メイリオ"/>
      <family val="2"/>
      <charset val="128"/>
    </font>
    <font>
      <sz val="11"/>
      <color theme="1"/>
      <name val="ＭＳ Ｐゴシック"/>
      <family val="2"/>
      <charset val="128"/>
      <scheme val="minor"/>
    </font>
    <font>
      <sz val="10"/>
      <color theme="1"/>
      <name val="ＭＳ 明朝"/>
      <family val="2"/>
      <charset val="128"/>
    </font>
    <font>
      <sz val="6"/>
      <name val="メイリオ"/>
      <family val="2"/>
      <charset val="128"/>
    </font>
    <font>
      <sz val="10"/>
      <name val="メイリオ"/>
      <family val="3"/>
      <charset val="128"/>
    </font>
    <font>
      <sz val="10"/>
      <color rgb="FFFF0000"/>
      <name val="メイリオ"/>
      <family val="2"/>
      <charset val="128"/>
    </font>
    <font>
      <sz val="10"/>
      <color rgb="FF002060"/>
      <name val="メイリオ"/>
      <family val="2"/>
      <charset val="128"/>
    </font>
    <font>
      <sz val="10"/>
      <color theme="1"/>
      <name val="Meiryo UI"/>
      <family val="2"/>
      <charset val="128"/>
    </font>
    <font>
      <sz val="6"/>
      <name val="ＭＳ Ｐゴシック"/>
      <family val="3"/>
      <charset val="128"/>
    </font>
    <font>
      <sz val="11"/>
      <name val="ＭＳ Ｐゴシック"/>
      <family val="3"/>
      <charset val="128"/>
    </font>
    <font>
      <sz val="10"/>
      <name val="Arial"/>
      <family val="2"/>
    </font>
    <font>
      <sz val="11"/>
      <color theme="1"/>
      <name val="ＭＳ Ｐゴシック"/>
      <family val="3"/>
      <charset val="128"/>
      <scheme val="minor"/>
    </font>
    <font>
      <u/>
      <sz val="10"/>
      <color indexed="12"/>
      <name val="Arial"/>
      <family val="2"/>
    </font>
    <font>
      <sz val="10"/>
      <name val="ＭＳ ゴシック"/>
      <family val="3"/>
      <charset val="128"/>
    </font>
    <font>
      <sz val="10"/>
      <name val="Helv"/>
      <family val="2"/>
    </font>
    <font>
      <sz val="10"/>
      <color theme="1"/>
      <name val="メイリオ"/>
      <family val="2"/>
      <charset val="128"/>
    </font>
    <font>
      <sz val="11"/>
      <color indexed="8"/>
      <name val="ＭＳ Ｐゴシック"/>
      <family val="3"/>
      <charset val="128"/>
    </font>
    <font>
      <sz val="10"/>
      <color theme="1"/>
      <name val="Meiryo UI"/>
      <family val="3"/>
      <charset val="128"/>
    </font>
    <font>
      <sz val="10"/>
      <name val="Meiryo UI"/>
      <family val="3"/>
      <charset val="128"/>
    </font>
    <font>
      <sz val="11"/>
      <color theme="1"/>
      <name val="Meiryo UI"/>
      <family val="2"/>
      <charset val="128"/>
    </font>
    <font>
      <sz val="11"/>
      <color theme="1"/>
      <name val="ＭＳ Ｐゴシック"/>
      <family val="2"/>
      <scheme val="minor"/>
    </font>
    <font>
      <sz val="6"/>
      <name val="ＭＳ Ｐゴシック"/>
      <family val="3"/>
      <charset val="128"/>
      <scheme val="minor"/>
    </font>
    <font>
      <sz val="9"/>
      <name val="メイリオ"/>
      <family val="3"/>
      <charset val="128"/>
    </font>
    <font>
      <b/>
      <sz val="10"/>
      <color theme="0"/>
      <name val="Meiryo UI"/>
      <family val="3"/>
      <charset val="128"/>
    </font>
    <font>
      <sz val="6"/>
      <name val="ＭＳ Ｐゴシック"/>
      <family val="2"/>
      <charset val="128"/>
      <scheme val="minor"/>
    </font>
    <font>
      <sz val="9"/>
      <name val="Meiryo UI"/>
      <family val="3"/>
      <charset val="128"/>
    </font>
    <font>
      <b/>
      <u/>
      <sz val="10"/>
      <name val="Meiryo UI"/>
      <family val="3"/>
      <charset val="128"/>
    </font>
    <font>
      <b/>
      <sz val="9"/>
      <color theme="1"/>
      <name val="メイリオ"/>
      <family val="3"/>
      <charset val="128"/>
    </font>
    <font>
      <sz val="9"/>
      <color theme="1"/>
      <name val="メイリオ"/>
      <family val="3"/>
      <charset val="128"/>
    </font>
    <font>
      <u/>
      <sz val="11"/>
      <color theme="10"/>
      <name val="ＭＳ Ｐゴシック"/>
      <family val="2"/>
      <charset val="128"/>
      <scheme val="minor"/>
    </font>
    <font>
      <sz val="11"/>
      <name val="Meiryo UI"/>
      <family val="3"/>
      <charset val="128"/>
    </font>
    <font>
      <sz val="11"/>
      <color theme="1"/>
      <name val="Meiryo UI"/>
      <family val="3"/>
      <charset val="128"/>
    </font>
    <font>
      <sz val="8"/>
      <name val="メイリオ"/>
      <family val="2"/>
      <charset val="128"/>
    </font>
    <font>
      <sz val="10"/>
      <color rgb="FFFF0000"/>
      <name val="Meiryo UI"/>
      <family val="3"/>
      <charset val="128"/>
    </font>
    <font>
      <sz val="9"/>
      <color rgb="FF000000"/>
      <name val="メイリオ"/>
      <family val="3"/>
      <charset val="128"/>
    </font>
    <font>
      <sz val="9"/>
      <color rgb="FFFF0000"/>
      <name val="メイリオ"/>
      <family val="3"/>
      <charset val="128"/>
    </font>
    <font>
      <sz val="10"/>
      <color rgb="FF000000"/>
      <name val="メイリオ"/>
      <family val="3"/>
      <charset val="128"/>
    </font>
    <font>
      <sz val="10"/>
      <color rgb="FFFF0000"/>
      <name val="メイリオ"/>
      <family val="3"/>
      <charset val="128"/>
    </font>
    <font>
      <sz val="11"/>
      <color rgb="FFFF0000"/>
      <name val="Meiryo UI"/>
      <family val="3"/>
      <charset val="128"/>
    </font>
    <font>
      <b/>
      <sz val="10"/>
      <name val="Meiryo UI"/>
      <family val="3"/>
      <charset val="128"/>
    </font>
    <font>
      <b/>
      <sz val="11"/>
      <name val="Meiryo UI"/>
      <family val="3"/>
      <charset val="128"/>
    </font>
    <font>
      <sz val="10"/>
      <name val="メイリオ"/>
      <family val="2"/>
      <charset val="128"/>
    </font>
    <font>
      <b/>
      <u/>
      <sz val="10"/>
      <name val="メイリオ"/>
      <family val="3"/>
      <charset val="128"/>
    </font>
    <font>
      <b/>
      <sz val="10"/>
      <name val="Meiryo UI"/>
      <family val="2"/>
      <charset val="128"/>
    </font>
    <font>
      <sz val="10"/>
      <color rgb="FF000000"/>
      <name val="メイリオ"/>
      <family val="2"/>
      <charset val="128"/>
    </font>
    <font>
      <sz val="9"/>
      <color rgb="FF000000"/>
      <name val="メイリオ"/>
      <family val="2"/>
      <charset val="128"/>
    </font>
    <font>
      <sz val="10"/>
      <color theme="1"/>
      <name val="メイリオ"/>
      <family val="3"/>
      <charset val="128"/>
    </font>
    <font>
      <strike/>
      <sz val="10"/>
      <name val="Meiryo UI"/>
      <family val="3"/>
      <charset val="128"/>
    </font>
    <font>
      <sz val="10"/>
      <name val="Meiryo UI"/>
      <family val="3"/>
    </font>
    <font>
      <b/>
      <sz val="9"/>
      <name val="Meiryo UI"/>
      <family val="3"/>
      <charset val="128"/>
    </font>
    <font>
      <sz val="9"/>
      <color rgb="FF7030A0"/>
      <name val="メイリオ"/>
      <family val="3"/>
      <charset val="128"/>
    </font>
    <font>
      <sz val="11"/>
      <color rgb="FF7030A0"/>
      <name val="Meiryo UI"/>
      <family val="3"/>
      <charset val="128"/>
    </font>
    <font>
      <sz val="11"/>
      <color rgb="FFC00000"/>
      <name val="Meiryo UI"/>
      <family val="3"/>
      <charset val="128"/>
    </font>
    <font>
      <b/>
      <sz val="11"/>
      <color rgb="FF00B0F0"/>
      <name val="Meiryo UI"/>
      <family val="3"/>
      <charset val="128"/>
    </font>
    <font>
      <u/>
      <sz val="10"/>
      <color rgb="FF0000FF"/>
      <name val="游ゴシック"/>
      <family val="2"/>
      <charset val="128"/>
    </font>
    <font>
      <sz val="11"/>
      <name val="Microsoft YaHei"/>
      <family val="3"/>
      <charset val="134"/>
    </font>
  </fonts>
  <fills count="19">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rgb="FFFFFFCC"/>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3399FF"/>
        <bgColor indexed="64"/>
      </patternFill>
    </fill>
    <fill>
      <patternFill patternType="solid">
        <fgColor rgb="FFFFFFFF"/>
        <bgColor rgb="FF000000"/>
      </patternFill>
    </fill>
    <fill>
      <patternFill patternType="solid">
        <fgColor rgb="FFFFFFFF"/>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BFBFBF"/>
        <bgColor rgb="FF000000"/>
      </patternFill>
    </fill>
    <fill>
      <patternFill patternType="solid">
        <fgColor rgb="FF92D050"/>
        <bgColor indexed="64"/>
      </patternFill>
    </fill>
    <fill>
      <patternFill patternType="solid">
        <fgColor theme="5"/>
        <bgColor indexed="64"/>
      </patternFill>
    </fill>
  </fills>
  <borders count="40">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double">
        <color indexed="64"/>
      </bottom>
      <diagonal/>
    </border>
    <border>
      <left style="thin">
        <color indexed="64"/>
      </left>
      <right style="thin">
        <color indexed="64"/>
      </right>
      <top style="double">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indexed="64"/>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35">
    <xf numFmtId="0" fontId="0" fillId="0" borderId="0">
      <alignment vertical="center"/>
    </xf>
    <xf numFmtId="0" fontId="14" fillId="0" borderId="0">
      <alignment vertical="center"/>
    </xf>
    <xf numFmtId="0" fontId="17" fillId="0" borderId="0"/>
    <xf numFmtId="0" fontId="18" fillId="0" borderId="0">
      <alignment vertical="center"/>
    </xf>
    <xf numFmtId="0" fontId="19" fillId="0" borderId="0" applyNumberFormat="0" applyFill="0" applyBorder="0" applyAlignment="0" applyProtection="0">
      <alignment vertical="top"/>
      <protection locked="0"/>
    </xf>
    <xf numFmtId="38" fontId="16" fillId="0" borderId="0" applyFont="0" applyFill="0" applyBorder="0" applyAlignment="0" applyProtection="0">
      <alignment vertical="center"/>
    </xf>
    <xf numFmtId="0" fontId="20" fillId="0" borderId="0" applyBorder="0"/>
    <xf numFmtId="0" fontId="20" fillId="0" borderId="0"/>
    <xf numFmtId="0" fontId="16" fillId="0" borderId="0"/>
    <xf numFmtId="0" fontId="21" fillId="0" borderId="0"/>
    <xf numFmtId="0" fontId="9" fillId="0" borderId="0">
      <alignment vertical="center"/>
    </xf>
    <xf numFmtId="0" fontId="22" fillId="0" borderId="0">
      <alignment vertical="center"/>
    </xf>
    <xf numFmtId="0" fontId="23" fillId="0" borderId="0" applyNumberFormat="0" applyFill="0" applyBorder="0" applyAlignment="0" applyProtection="0">
      <alignment vertical="center"/>
    </xf>
    <xf numFmtId="0" fontId="14" fillId="0" borderId="0">
      <alignment vertical="center"/>
    </xf>
    <xf numFmtId="0" fontId="17" fillId="0" borderId="0"/>
    <xf numFmtId="0" fontId="22" fillId="0" borderId="0">
      <alignment vertical="center"/>
    </xf>
    <xf numFmtId="0" fontId="8" fillId="0" borderId="0">
      <alignment vertical="center"/>
    </xf>
    <xf numFmtId="0" fontId="17" fillId="0" borderId="0"/>
    <xf numFmtId="0" fontId="26" fillId="0" borderId="0">
      <alignment vertical="center"/>
    </xf>
    <xf numFmtId="0" fontId="27" fillId="0" borderId="0"/>
    <xf numFmtId="0" fontId="7" fillId="0" borderId="0">
      <alignment vertical="center"/>
    </xf>
    <xf numFmtId="0" fontId="16" fillId="0" borderId="0"/>
    <xf numFmtId="0" fontId="8" fillId="0" borderId="0"/>
    <xf numFmtId="0" fontId="22" fillId="0" borderId="0">
      <alignment vertical="center"/>
    </xf>
    <xf numFmtId="0" fontId="36" fillId="0" borderId="0" applyNumberFormat="0" applyFill="0" applyBorder="0" applyAlignment="0" applyProtection="0"/>
    <xf numFmtId="0" fontId="16" fillId="0" borderId="0"/>
    <xf numFmtId="0" fontId="16" fillId="0" borderId="0">
      <alignment vertical="center"/>
    </xf>
    <xf numFmtId="0" fontId="6" fillId="0" borderId="0"/>
    <xf numFmtId="0" fontId="5" fillId="0" borderId="0"/>
    <xf numFmtId="0" fontId="4" fillId="0" borderId="0"/>
    <xf numFmtId="0" fontId="3" fillId="0" borderId="0"/>
    <xf numFmtId="0" fontId="2" fillId="0" borderId="0"/>
    <xf numFmtId="0" fontId="1" fillId="0" borderId="0"/>
    <xf numFmtId="0" fontId="1" fillId="0" borderId="0"/>
    <xf numFmtId="0" fontId="1" fillId="0" borderId="0"/>
  </cellStyleXfs>
  <cellXfs count="427">
    <xf numFmtId="0" fontId="0" fillId="0" borderId="0" xfId="0">
      <alignment vertical="center"/>
    </xf>
    <xf numFmtId="0" fontId="0" fillId="2" borderId="0" xfId="0" applyFill="1">
      <alignment vertical="center"/>
    </xf>
    <xf numFmtId="0" fontId="0" fillId="2" borderId="2" xfId="0" applyFill="1" applyBorder="1">
      <alignment vertical="center"/>
    </xf>
    <xf numFmtId="0" fontId="0" fillId="2" borderId="4" xfId="0" applyFill="1" applyBorder="1">
      <alignment vertical="center"/>
    </xf>
    <xf numFmtId="0" fontId="0" fillId="2" borderId="1" xfId="0" applyFill="1" applyBorder="1">
      <alignment vertical="center"/>
    </xf>
    <xf numFmtId="0" fontId="0" fillId="2" borderId="7" xfId="0" applyFill="1" applyBorder="1">
      <alignment vertical="center"/>
    </xf>
    <xf numFmtId="0" fontId="0" fillId="2" borderId="8" xfId="0" applyFill="1" applyBorder="1">
      <alignment vertical="center"/>
    </xf>
    <xf numFmtId="0" fontId="0" fillId="2" borderId="4" xfId="0" applyFill="1" applyBorder="1" applyAlignment="1">
      <alignment vertical="center" wrapText="1"/>
    </xf>
    <xf numFmtId="0" fontId="0" fillId="2" borderId="4" xfId="0" applyFill="1" applyBorder="1" applyAlignment="1">
      <alignment horizontal="left" vertical="center"/>
    </xf>
    <xf numFmtId="0" fontId="0" fillId="2" borderId="4" xfId="0" applyFill="1" applyBorder="1" applyAlignment="1">
      <alignment horizontal="center" vertical="center"/>
    </xf>
    <xf numFmtId="0" fontId="0" fillId="3" borderId="1" xfId="0" applyFill="1" applyBorder="1">
      <alignment vertical="center"/>
    </xf>
    <xf numFmtId="0" fontId="0" fillId="3" borderId="7" xfId="0" applyFill="1" applyBorder="1">
      <alignment vertical="center"/>
    </xf>
    <xf numFmtId="0" fontId="0" fillId="5" borderId="1" xfId="0" applyFill="1" applyBorder="1">
      <alignment vertical="center"/>
    </xf>
    <xf numFmtId="0" fontId="0" fillId="5" borderId="7" xfId="0" applyFill="1" applyBorder="1">
      <alignment vertical="center"/>
    </xf>
    <xf numFmtId="0" fontId="0" fillId="5" borderId="3" xfId="0" applyFill="1" applyBorder="1">
      <alignment vertical="center"/>
    </xf>
    <xf numFmtId="0" fontId="0" fillId="5" borderId="5" xfId="0" applyFill="1" applyBorder="1">
      <alignment vertical="center"/>
    </xf>
    <xf numFmtId="0" fontId="0" fillId="2" borderId="0" xfId="0" applyFill="1" applyAlignment="1">
      <alignment horizontal="left" vertical="center"/>
    </xf>
    <xf numFmtId="0" fontId="0" fillId="2" borderId="11" xfId="0" applyFill="1" applyBorder="1">
      <alignment vertical="center"/>
    </xf>
    <xf numFmtId="0" fontId="11" fillId="3" borderId="5" xfId="0" applyFont="1" applyFill="1" applyBorder="1" applyAlignment="1">
      <alignment horizontal="left" vertical="center"/>
    </xf>
    <xf numFmtId="0" fontId="11" fillId="3" borderId="5" xfId="0" applyFont="1" applyFill="1" applyBorder="1">
      <alignment vertical="center"/>
    </xf>
    <xf numFmtId="0" fontId="11" fillId="3" borderId="1" xfId="0" applyFont="1" applyFill="1" applyBorder="1">
      <alignment vertical="center"/>
    </xf>
    <xf numFmtId="0" fontId="11" fillId="3" borderId="7" xfId="0" applyFont="1" applyFill="1" applyBorder="1">
      <alignment vertical="center"/>
    </xf>
    <xf numFmtId="0" fontId="11" fillId="3" borderId="8" xfId="0" applyFont="1" applyFill="1" applyBorder="1">
      <alignment vertical="center"/>
    </xf>
    <xf numFmtId="0" fontId="11" fillId="3" borderId="9" xfId="0" applyFont="1" applyFill="1" applyBorder="1">
      <alignment vertical="center"/>
    </xf>
    <xf numFmtId="0" fontId="11" fillId="3" borderId="6" xfId="0" applyFont="1" applyFill="1" applyBorder="1" applyAlignment="1">
      <alignment horizontal="left" vertical="center"/>
    </xf>
    <xf numFmtId="0" fontId="11" fillId="3" borderId="6" xfId="0" applyFont="1" applyFill="1" applyBorder="1">
      <alignment vertical="center"/>
    </xf>
    <xf numFmtId="0" fontId="11" fillId="3" borderId="3" xfId="0" applyFont="1" applyFill="1" applyBorder="1">
      <alignment vertical="center"/>
    </xf>
    <xf numFmtId="0" fontId="11" fillId="3" borderId="10" xfId="0" applyFont="1" applyFill="1" applyBorder="1">
      <alignment vertical="center"/>
    </xf>
    <xf numFmtId="0" fontId="11" fillId="4" borderId="1" xfId="0" applyFont="1" applyFill="1" applyBorder="1">
      <alignment vertical="center"/>
    </xf>
    <xf numFmtId="0" fontId="11" fillId="4" borderId="7" xfId="0" applyFont="1" applyFill="1" applyBorder="1">
      <alignment vertical="center"/>
    </xf>
    <xf numFmtId="0" fontId="11" fillId="4" borderId="3" xfId="0" applyFont="1" applyFill="1" applyBorder="1">
      <alignment vertical="center"/>
    </xf>
    <xf numFmtId="0" fontId="11" fillId="4" borderId="3" xfId="0" applyFont="1" applyFill="1" applyBorder="1" applyAlignment="1">
      <alignment vertical="center" wrapText="1"/>
    </xf>
    <xf numFmtId="0" fontId="0" fillId="5" borderId="5" xfId="0" applyFill="1" applyBorder="1" applyAlignment="1">
      <alignment horizontal="left" vertical="center"/>
    </xf>
    <xf numFmtId="0" fontId="0" fillId="5" borderId="8" xfId="0" applyFill="1" applyBorder="1">
      <alignment vertical="center"/>
    </xf>
    <xf numFmtId="0" fontId="0" fillId="5" borderId="9" xfId="0" applyFill="1" applyBorder="1">
      <alignment vertical="center"/>
    </xf>
    <xf numFmtId="0" fontId="0" fillId="5" borderId="6" xfId="0" applyFill="1" applyBorder="1" applyAlignment="1">
      <alignment horizontal="left" vertical="center"/>
    </xf>
    <xf numFmtId="0" fontId="0" fillId="5" borderId="6" xfId="0" applyFill="1" applyBorder="1">
      <alignment vertical="center"/>
    </xf>
    <xf numFmtId="0" fontId="0" fillId="5" borderId="10" xfId="0" applyFill="1" applyBorder="1">
      <alignment vertical="center"/>
    </xf>
    <xf numFmtId="0" fontId="0" fillId="5" borderId="1" xfId="0" applyFill="1" applyBorder="1" applyAlignment="1">
      <alignment horizontal="left" vertical="center"/>
    </xf>
    <xf numFmtId="0" fontId="0" fillId="3" borderId="8" xfId="0" applyFill="1" applyBorder="1">
      <alignment vertical="center"/>
    </xf>
    <xf numFmtId="0" fontId="0" fillId="3" borderId="2" xfId="0" applyFill="1" applyBorder="1" applyAlignment="1">
      <alignment horizontal="left" vertical="center"/>
    </xf>
    <xf numFmtId="0" fontId="0" fillId="5" borderId="2" xfId="0" applyFill="1" applyBorder="1" applyAlignment="1">
      <alignment horizontal="left" vertical="center"/>
    </xf>
    <xf numFmtId="0" fontId="0" fillId="2" borderId="4" xfId="0" applyFill="1" applyBorder="1" applyAlignment="1">
      <alignment vertical="top"/>
    </xf>
    <xf numFmtId="0" fontId="0" fillId="5" borderId="7" xfId="0" applyFill="1" applyBorder="1" applyAlignment="1">
      <alignment horizontal="left" vertical="center"/>
    </xf>
    <xf numFmtId="0" fontId="0" fillId="2" borderId="4" xfId="0" applyFill="1" applyBorder="1" applyAlignment="1">
      <alignment horizontal="left" vertical="center" wrapText="1"/>
    </xf>
    <xf numFmtId="0" fontId="0" fillId="2" borderId="0" xfId="0" applyFill="1" applyAlignment="1">
      <alignment vertical="center" wrapText="1"/>
    </xf>
    <xf numFmtId="0" fontId="0" fillId="5" borderId="5" xfId="0" applyFill="1" applyBorder="1" applyAlignment="1">
      <alignment vertical="center" wrapText="1"/>
    </xf>
    <xf numFmtId="0" fontId="0" fillId="5" borderId="6" xfId="0" applyFill="1" applyBorder="1" applyAlignment="1">
      <alignment vertical="center" wrapText="1"/>
    </xf>
    <xf numFmtId="0" fontId="0" fillId="0" borderId="4" xfId="0" applyBorder="1" applyAlignment="1">
      <alignment vertical="center" wrapText="1"/>
    </xf>
    <xf numFmtId="0" fontId="0" fillId="2" borderId="1" xfId="0" quotePrefix="1" applyFill="1" applyBorder="1">
      <alignment vertical="center"/>
    </xf>
    <xf numFmtId="49" fontId="0" fillId="2" borderId="4" xfId="0" quotePrefix="1" applyNumberFormat="1" applyFill="1" applyBorder="1">
      <alignment vertical="center"/>
    </xf>
    <xf numFmtId="49" fontId="0" fillId="2" borderId="4" xfId="0" applyNumberFormat="1" applyFill="1" applyBorder="1">
      <alignment vertical="center"/>
    </xf>
    <xf numFmtId="0" fontId="0" fillId="2" borderId="4" xfId="0" quotePrefix="1" applyFill="1" applyBorder="1">
      <alignment vertical="center"/>
    </xf>
    <xf numFmtId="0" fontId="12" fillId="2" borderId="0" xfId="0" applyFont="1" applyFill="1">
      <alignment vertical="center"/>
    </xf>
    <xf numFmtId="0" fontId="13" fillId="2" borderId="0" xfId="0" applyFont="1" applyFill="1">
      <alignment vertical="center"/>
    </xf>
    <xf numFmtId="0" fontId="11" fillId="3" borderId="3" xfId="0" applyFont="1" applyFill="1" applyBorder="1" applyAlignment="1">
      <alignment vertical="center" wrapText="1"/>
    </xf>
    <xf numFmtId="0" fontId="25" fillId="0" borderId="0" xfId="0" applyFont="1">
      <alignment vertical="center"/>
    </xf>
    <xf numFmtId="0" fontId="25" fillId="0" borderId="13" xfId="0" applyFont="1" applyBorder="1">
      <alignment vertical="center"/>
    </xf>
    <xf numFmtId="0" fontId="25" fillId="2" borderId="0" xfId="0" applyFont="1" applyFill="1" applyAlignment="1"/>
    <xf numFmtId="0" fontId="30" fillId="8" borderId="2" xfId="0" applyFont="1" applyFill="1" applyBorder="1" applyAlignment="1">
      <alignment horizontal="center" vertical="top" wrapText="1"/>
    </xf>
    <xf numFmtId="0" fontId="30" fillId="0" borderId="0" xfId="0" applyFont="1" applyAlignment="1">
      <alignment horizontal="center" vertical="top"/>
    </xf>
    <xf numFmtId="0" fontId="24" fillId="7" borderId="2" xfId="0" applyFont="1" applyFill="1" applyBorder="1" applyAlignment="1"/>
    <xf numFmtId="0" fontId="24" fillId="0" borderId="0" xfId="0" applyFont="1" applyAlignment="1"/>
    <xf numFmtId="0" fontId="24" fillId="0" borderId="2" xfId="0" applyFont="1" applyBorder="1" applyAlignment="1"/>
    <xf numFmtId="0" fontId="0" fillId="0" borderId="0" xfId="0" applyAlignment="1"/>
    <xf numFmtId="0" fontId="25" fillId="0" borderId="0" xfId="0" applyFont="1" applyAlignment="1"/>
    <xf numFmtId="0" fontId="25" fillId="2" borderId="12" xfId="0" applyFont="1" applyFill="1" applyBorder="1" applyAlignment="1"/>
    <xf numFmtId="0" fontId="25" fillId="0" borderId="12" xfId="0" applyFont="1" applyBorder="1" applyAlignment="1"/>
    <xf numFmtId="0" fontId="25" fillId="0" borderId="15" xfId="0" applyFont="1" applyBorder="1">
      <alignment vertical="center"/>
    </xf>
    <xf numFmtId="0" fontId="25" fillId="0" borderId="17" xfId="0" applyFont="1" applyBorder="1">
      <alignment vertical="center"/>
    </xf>
    <xf numFmtId="0" fontId="33" fillId="0" borderId="0" xfId="0" applyFont="1">
      <alignment vertical="center"/>
    </xf>
    <xf numFmtId="0" fontId="11" fillId="2" borderId="0" xfId="21" applyFont="1" applyFill="1" applyAlignment="1">
      <alignment vertical="center"/>
    </xf>
    <xf numFmtId="0" fontId="35" fillId="0" borderId="2" xfId="23" applyFont="1" applyBorder="1">
      <alignment vertical="center"/>
    </xf>
    <xf numFmtId="0" fontId="0" fillId="11" borderId="2" xfId="0" applyFill="1" applyBorder="1" applyAlignment="1">
      <alignment horizontal="center" vertical="center"/>
    </xf>
    <xf numFmtId="0" fontId="11" fillId="2" borderId="13" xfId="21" applyFont="1" applyFill="1" applyBorder="1" applyAlignment="1">
      <alignment vertical="center"/>
    </xf>
    <xf numFmtId="0" fontId="11" fillId="2" borderId="14" xfId="21" applyFont="1" applyFill="1" applyBorder="1" applyAlignment="1">
      <alignment vertical="center"/>
    </xf>
    <xf numFmtId="0" fontId="11" fillId="2" borderId="15" xfId="21" applyFont="1" applyFill="1" applyBorder="1" applyAlignment="1">
      <alignment vertical="center"/>
    </xf>
    <xf numFmtId="0" fontId="37" fillId="0" borderId="2" xfId="26" applyFont="1" applyBorder="1" applyAlignment="1">
      <alignment horizontal="left" vertical="top"/>
    </xf>
    <xf numFmtId="0" fontId="37" fillId="0" borderId="2" xfId="26" applyFont="1" applyBorder="1" applyAlignment="1">
      <alignment horizontal="left" vertical="top" wrapText="1"/>
    </xf>
    <xf numFmtId="0" fontId="37" fillId="6" borderId="5" xfId="26" applyFont="1" applyFill="1" applyBorder="1" applyAlignment="1">
      <alignment vertical="top"/>
    </xf>
    <xf numFmtId="0" fontId="25" fillId="0" borderId="0" xfId="0" applyFont="1" applyAlignment="1">
      <alignment vertical="top"/>
    </xf>
    <xf numFmtId="0" fontId="25" fillId="6" borderId="2" xfId="0" applyFont="1" applyFill="1" applyBorder="1" applyAlignment="1">
      <alignment vertical="top"/>
    </xf>
    <xf numFmtId="0" fontId="25" fillId="2" borderId="2" xfId="0" applyFont="1" applyFill="1" applyBorder="1" applyAlignment="1">
      <alignment horizontal="center" vertical="top"/>
    </xf>
    <xf numFmtId="0" fontId="25" fillId="2" borderId="2" xfId="0" applyFont="1" applyFill="1" applyBorder="1" applyAlignment="1">
      <alignment vertical="top"/>
    </xf>
    <xf numFmtId="0" fontId="25" fillId="2" borderId="2" xfId="0" applyFont="1" applyFill="1" applyBorder="1" applyAlignment="1">
      <alignment vertical="top" wrapText="1"/>
    </xf>
    <xf numFmtId="0" fontId="38" fillId="0" borderId="0" xfId="0" applyFont="1">
      <alignment vertical="center"/>
    </xf>
    <xf numFmtId="0" fontId="37" fillId="6" borderId="5" xfId="25" applyFont="1" applyFill="1" applyBorder="1"/>
    <xf numFmtId="0" fontId="37" fillId="6" borderId="5" xfId="25" applyFont="1" applyFill="1" applyBorder="1" applyAlignment="1">
      <alignment vertical="top"/>
    </xf>
    <xf numFmtId="0" fontId="38" fillId="6" borderId="5" xfId="0" applyFont="1" applyFill="1" applyBorder="1" applyAlignment="1">
      <alignment horizontal="left" vertical="top"/>
    </xf>
    <xf numFmtId="0" fontId="37" fillId="0" borderId="0" xfId="25" applyFont="1" applyAlignment="1">
      <alignment vertical="top"/>
    </xf>
    <xf numFmtId="49" fontId="37" fillId="0" borderId="2" xfId="25" applyNumberFormat="1" applyFont="1" applyBorder="1" applyAlignment="1">
      <alignment horizontal="left" vertical="center"/>
    </xf>
    <xf numFmtId="0" fontId="37" fillId="0" borderId="2" xfId="25" applyFont="1" applyBorder="1" applyAlignment="1">
      <alignment vertical="top"/>
    </xf>
    <xf numFmtId="0" fontId="38" fillId="0" borderId="2" xfId="0" applyFont="1" applyBorder="1">
      <alignment vertical="center"/>
    </xf>
    <xf numFmtId="49" fontId="38" fillId="0" borderId="2" xfId="0" applyNumberFormat="1" applyFont="1" applyBorder="1">
      <alignment vertical="center"/>
    </xf>
    <xf numFmtId="49" fontId="38" fillId="0" borderId="0" xfId="0" applyNumberFormat="1" applyFont="1">
      <alignment vertical="center"/>
    </xf>
    <xf numFmtId="0" fontId="25" fillId="2" borderId="2" xfId="0" quotePrefix="1" applyFont="1" applyFill="1" applyBorder="1" applyAlignment="1">
      <alignment horizontal="center" vertical="top"/>
    </xf>
    <xf numFmtId="0" fontId="25" fillId="6" borderId="2" xfId="0" applyFont="1" applyFill="1" applyBorder="1" applyAlignment="1">
      <alignment vertical="top" wrapText="1"/>
    </xf>
    <xf numFmtId="0" fontId="25" fillId="2" borderId="2" xfId="0" quotePrefix="1" applyFont="1" applyFill="1" applyBorder="1" applyAlignment="1">
      <alignment horizontal="left" vertical="top"/>
    </xf>
    <xf numFmtId="0" fontId="25" fillId="2" borderId="2" xfId="0" applyFont="1" applyFill="1" applyBorder="1" applyAlignment="1">
      <alignment horizontal="left" vertical="top"/>
    </xf>
    <xf numFmtId="0" fontId="25" fillId="2" borderId="0" xfId="0" applyFont="1" applyFill="1" applyAlignment="1">
      <alignment horizontal="left" vertical="top"/>
    </xf>
    <xf numFmtId="0" fontId="25" fillId="0" borderId="0" xfId="0" applyFont="1" applyAlignment="1">
      <alignment horizontal="left" vertical="top"/>
    </xf>
    <xf numFmtId="0" fontId="25" fillId="2" borderId="2" xfId="0" quotePrefix="1" applyFont="1" applyFill="1" applyBorder="1" applyAlignment="1">
      <alignment vertical="top" wrapText="1"/>
    </xf>
    <xf numFmtId="0" fontId="37" fillId="0" borderId="2" xfId="25" applyFont="1" applyBorder="1" applyAlignment="1">
      <alignment vertical="top" wrapText="1"/>
    </xf>
    <xf numFmtId="0" fontId="25" fillId="2" borderId="21" xfId="0" applyFont="1" applyFill="1" applyBorder="1" applyAlignment="1"/>
    <xf numFmtId="0" fontId="25" fillId="0" borderId="21" xfId="0" applyFont="1" applyBorder="1" applyAlignment="1"/>
    <xf numFmtId="0" fontId="25" fillId="2" borderId="23" xfId="0" applyFont="1" applyFill="1" applyBorder="1" applyAlignment="1"/>
    <xf numFmtId="0" fontId="25" fillId="2" borderId="23" xfId="0" applyFont="1" applyFill="1" applyBorder="1">
      <alignment vertical="center"/>
    </xf>
    <xf numFmtId="0" fontId="25" fillId="0" borderId="24" xfId="0" applyFont="1" applyBorder="1">
      <alignment vertical="center"/>
    </xf>
    <xf numFmtId="0" fontId="25" fillId="0" borderId="23" xfId="0" applyFont="1" applyBorder="1">
      <alignment vertical="center"/>
    </xf>
    <xf numFmtId="0" fontId="41" fillId="0" borderId="2" xfId="23" applyFont="1" applyBorder="1">
      <alignment vertical="center"/>
    </xf>
    <xf numFmtId="0" fontId="43" fillId="0" borderId="2" xfId="23" applyFont="1" applyBorder="1">
      <alignment vertical="center"/>
    </xf>
    <xf numFmtId="0" fontId="43" fillId="0" borderId="2" xfId="23" applyFont="1" applyBorder="1" applyAlignment="1">
      <alignment horizontal="center" vertical="center"/>
    </xf>
    <xf numFmtId="0" fontId="42" fillId="0" borderId="0" xfId="0" applyFont="1">
      <alignment vertical="center"/>
    </xf>
    <xf numFmtId="0" fontId="41" fillId="12" borderId="2" xfId="0" applyFont="1" applyFill="1" applyBorder="1">
      <alignment vertical="center"/>
    </xf>
    <xf numFmtId="0" fontId="41" fillId="0" borderId="17" xfId="0" applyFont="1" applyBorder="1">
      <alignment vertical="center"/>
    </xf>
    <xf numFmtId="0" fontId="41" fillId="0" borderId="2" xfId="0" applyFont="1" applyBorder="1">
      <alignment vertical="center"/>
    </xf>
    <xf numFmtId="0" fontId="41" fillId="0" borderId="17" xfId="0" applyFont="1" applyBorder="1" applyAlignment="1">
      <alignment vertical="center" wrapText="1"/>
    </xf>
    <xf numFmtId="0" fontId="41" fillId="0" borderId="34" xfId="23" applyFont="1" applyBorder="1">
      <alignment vertical="center"/>
    </xf>
    <xf numFmtId="0" fontId="43" fillId="0" borderId="34" xfId="23" applyFont="1" applyBorder="1" applyAlignment="1">
      <alignment horizontal="center" vertical="center"/>
    </xf>
    <xf numFmtId="0" fontId="41" fillId="12" borderId="2" xfId="0" applyFont="1" applyFill="1" applyBorder="1" applyAlignment="1">
      <alignment horizontal="left" vertical="center"/>
    </xf>
    <xf numFmtId="0" fontId="41" fillId="12" borderId="2" xfId="0" applyFont="1" applyFill="1" applyBorder="1" applyAlignment="1">
      <alignment horizontal="center" vertical="center"/>
    </xf>
    <xf numFmtId="0" fontId="37" fillId="0" borderId="5" xfId="26" applyFont="1" applyBorder="1" applyAlignment="1">
      <alignment vertical="top"/>
    </xf>
    <xf numFmtId="0" fontId="38" fillId="0" borderId="5" xfId="0" applyFont="1" applyBorder="1" applyAlignment="1">
      <alignment horizontal="left" vertical="top"/>
    </xf>
    <xf numFmtId="0" fontId="37" fillId="0" borderId="0" xfId="25" applyFont="1" applyAlignment="1">
      <alignment vertical="top" wrapText="1"/>
    </xf>
    <xf numFmtId="0" fontId="48" fillId="2" borderId="12" xfId="0" applyFont="1" applyFill="1" applyBorder="1" applyAlignment="1"/>
    <xf numFmtId="0" fontId="48" fillId="0" borderId="12" xfId="0" applyFont="1" applyBorder="1" applyAlignment="1"/>
    <xf numFmtId="0" fontId="48" fillId="2" borderId="16" xfId="0" applyFont="1" applyFill="1" applyBorder="1" applyAlignment="1"/>
    <xf numFmtId="0" fontId="48" fillId="2" borderId="0" xfId="0" applyFont="1" applyFill="1" applyAlignment="1"/>
    <xf numFmtId="0" fontId="48" fillId="0" borderId="0" xfId="0" applyFont="1" applyAlignment="1"/>
    <xf numFmtId="0" fontId="48" fillId="2" borderId="21" xfId="0" applyFont="1" applyFill="1" applyBorder="1" applyAlignment="1"/>
    <xf numFmtId="0" fontId="48" fillId="0" borderId="21" xfId="0" applyFont="1" applyBorder="1" applyAlignment="1"/>
    <xf numFmtId="0" fontId="48" fillId="2" borderId="22" xfId="0" applyFont="1" applyFill="1" applyBorder="1" applyAlignment="1"/>
    <xf numFmtId="0" fontId="48" fillId="2" borderId="24" xfId="0" applyFont="1" applyFill="1" applyBorder="1" applyAlignment="1"/>
    <xf numFmtId="0" fontId="49" fillId="0" borderId="0" xfId="0" applyFont="1" applyAlignment="1"/>
    <xf numFmtId="0" fontId="50" fillId="0" borderId="0" xfId="0" applyFont="1">
      <alignment vertical="center"/>
    </xf>
    <xf numFmtId="16" fontId="25" fillId="0" borderId="0" xfId="0" quotePrefix="1" applyNumberFormat="1" applyFont="1">
      <alignment vertical="center"/>
    </xf>
    <xf numFmtId="0" fontId="25" fillId="0" borderId="0" xfId="0" quotePrefix="1" applyFont="1">
      <alignment vertical="center"/>
    </xf>
    <xf numFmtId="0" fontId="25" fillId="0" borderId="29" xfId="0" applyFont="1" applyBorder="1">
      <alignment vertical="center"/>
    </xf>
    <xf numFmtId="0" fontId="25" fillId="0" borderId="30" xfId="0" applyFont="1" applyBorder="1">
      <alignment vertical="center"/>
    </xf>
    <xf numFmtId="0" fontId="25" fillId="0" borderId="32" xfId="0" applyFont="1" applyBorder="1">
      <alignment vertical="center"/>
    </xf>
    <xf numFmtId="0" fontId="25" fillId="15" borderId="23" xfId="0" applyFont="1" applyFill="1" applyBorder="1">
      <alignment vertical="center"/>
    </xf>
    <xf numFmtId="0" fontId="25" fillId="15" borderId="0" xfId="0" applyFont="1" applyFill="1">
      <alignment vertical="center"/>
    </xf>
    <xf numFmtId="0" fontId="25" fillId="15" borderId="24" xfId="0" applyFont="1" applyFill="1" applyBorder="1">
      <alignment vertical="center"/>
    </xf>
    <xf numFmtId="0" fontId="44" fillId="10" borderId="2" xfId="0" applyFont="1" applyFill="1" applyBorder="1" applyAlignment="1">
      <alignment horizontal="center" vertical="center"/>
    </xf>
    <xf numFmtId="0" fontId="0" fillId="0" borderId="2" xfId="23" applyFont="1" applyBorder="1">
      <alignment vertical="center"/>
    </xf>
    <xf numFmtId="0" fontId="51" fillId="0" borderId="2" xfId="23" applyFont="1" applyBorder="1">
      <alignment vertical="center"/>
    </xf>
    <xf numFmtId="0" fontId="51" fillId="0" borderId="2" xfId="23" applyFont="1" applyBorder="1" applyAlignment="1">
      <alignment horizontal="center" vertical="center"/>
    </xf>
    <xf numFmtId="0" fontId="41" fillId="0" borderId="0" xfId="23" applyFont="1">
      <alignment vertical="center"/>
    </xf>
    <xf numFmtId="0" fontId="43" fillId="0" borderId="0" xfId="23" applyFont="1">
      <alignment vertical="center"/>
    </xf>
    <xf numFmtId="0" fontId="43" fillId="0" borderId="0" xfId="23" applyFont="1" applyAlignment="1">
      <alignment horizontal="center" vertical="center"/>
    </xf>
    <xf numFmtId="0" fontId="43" fillId="0" borderId="0" xfId="23" applyFont="1" applyAlignment="1">
      <alignment horizontal="left" vertical="top"/>
    </xf>
    <xf numFmtId="0" fontId="0" fillId="2" borderId="0" xfId="0" applyFill="1" applyAlignment="1"/>
    <xf numFmtId="0" fontId="35" fillId="12" borderId="2" xfId="0" applyFont="1" applyFill="1" applyBorder="1" applyAlignment="1">
      <alignment horizontal="left" vertical="center"/>
    </xf>
    <xf numFmtId="0" fontId="35" fillId="0" borderId="2" xfId="0" applyFont="1" applyBorder="1">
      <alignment vertical="center"/>
    </xf>
    <xf numFmtId="0" fontId="35" fillId="12" borderId="2" xfId="0" applyFont="1" applyFill="1" applyBorder="1">
      <alignment vertical="center"/>
    </xf>
    <xf numFmtId="0" fontId="35" fillId="12" borderId="2" xfId="0" applyFont="1" applyFill="1" applyBorder="1" applyAlignment="1">
      <alignment horizontal="center" vertical="center"/>
    </xf>
    <xf numFmtId="0" fontId="53" fillId="0" borderId="2" xfId="23" applyFont="1" applyBorder="1">
      <alignment vertical="center"/>
    </xf>
    <xf numFmtId="0" fontId="53" fillId="0" borderId="2" xfId="23" applyFont="1" applyBorder="1" applyAlignment="1">
      <alignment horizontal="center" vertical="center"/>
    </xf>
    <xf numFmtId="0" fontId="29" fillId="12" borderId="2" xfId="0" applyFont="1" applyFill="1" applyBorder="1">
      <alignment vertical="center"/>
    </xf>
    <xf numFmtId="0" fontId="38" fillId="0" borderId="2" xfId="0" applyFont="1" applyBorder="1" applyAlignment="1">
      <alignment horizontal="left" vertical="center"/>
    </xf>
    <xf numFmtId="0" fontId="54" fillId="0" borderId="0" xfId="0" applyFont="1">
      <alignment vertical="center"/>
    </xf>
    <xf numFmtId="0" fontId="25" fillId="15" borderId="0" xfId="0" quotePrefix="1" applyFont="1" applyFill="1">
      <alignment vertical="center"/>
    </xf>
    <xf numFmtId="0" fontId="55" fillId="0" borderId="0" xfId="0" applyFont="1">
      <alignment vertical="center"/>
    </xf>
    <xf numFmtId="0" fontId="55" fillId="0" borderId="0" xfId="0" quotePrefix="1" applyFont="1">
      <alignment vertical="center"/>
    </xf>
    <xf numFmtId="0" fontId="29" fillId="13" borderId="0" xfId="0" applyFont="1" applyFill="1">
      <alignment vertical="center"/>
    </xf>
    <xf numFmtId="0" fontId="25" fillId="14" borderId="18" xfId="0" applyFont="1" applyFill="1" applyBorder="1">
      <alignment vertical="center"/>
    </xf>
    <xf numFmtId="0" fontId="25" fillId="14" borderId="19" xfId="0" applyFont="1" applyFill="1" applyBorder="1">
      <alignment vertical="center"/>
    </xf>
    <xf numFmtId="0" fontId="25" fillId="14" borderId="20" xfId="0" applyFont="1" applyFill="1" applyBorder="1">
      <alignment vertical="center"/>
    </xf>
    <xf numFmtId="0" fontId="25" fillId="14" borderId="25" xfId="0" applyFont="1" applyFill="1" applyBorder="1">
      <alignment vertical="center"/>
    </xf>
    <xf numFmtId="0" fontId="25" fillId="14" borderId="26" xfId="0" applyFont="1" applyFill="1" applyBorder="1">
      <alignment vertical="center"/>
    </xf>
    <xf numFmtId="0" fontId="25" fillId="14" borderId="27" xfId="0" applyFont="1" applyFill="1" applyBorder="1">
      <alignment vertical="center"/>
    </xf>
    <xf numFmtId="0" fontId="25" fillId="14" borderId="28" xfId="0" applyFont="1" applyFill="1" applyBorder="1">
      <alignment vertical="center"/>
    </xf>
    <xf numFmtId="0" fontId="25" fillId="0" borderId="29" xfId="0" quotePrefix="1" applyFont="1" applyBorder="1">
      <alignment vertical="center"/>
    </xf>
    <xf numFmtId="0" fontId="25" fillId="0" borderId="31" xfId="0" applyFont="1" applyBorder="1">
      <alignment vertical="center"/>
    </xf>
    <xf numFmtId="0" fontId="37" fillId="0" borderId="2" xfId="26" applyFont="1" applyBorder="1" applyAlignment="1">
      <alignment horizontal="center" vertical="center"/>
    </xf>
    <xf numFmtId="0" fontId="32" fillId="2" borderId="5" xfId="0" applyFont="1" applyFill="1" applyBorder="1" applyAlignment="1">
      <alignment vertical="top" wrapText="1"/>
    </xf>
    <xf numFmtId="0" fontId="32" fillId="2" borderId="4" xfId="0" applyFont="1" applyFill="1" applyBorder="1" applyAlignment="1">
      <alignment vertical="top" wrapText="1"/>
    </xf>
    <xf numFmtId="0" fontId="32" fillId="2" borderId="2" xfId="0" applyFont="1" applyFill="1" applyBorder="1" applyAlignment="1">
      <alignment vertical="top" wrapText="1"/>
    </xf>
    <xf numFmtId="0" fontId="32" fillId="0" borderId="2" xfId="0" applyFont="1" applyBorder="1" applyAlignment="1">
      <alignment vertical="top" wrapText="1"/>
    </xf>
    <xf numFmtId="49" fontId="38" fillId="0" borderId="2" xfId="0" applyNumberFormat="1" applyFont="1" applyBorder="1" applyAlignment="1">
      <alignment vertical="top" wrapText="1"/>
    </xf>
    <xf numFmtId="0" fontId="32" fillId="2" borderId="38" xfId="0" applyFont="1" applyFill="1" applyBorder="1" applyAlignment="1">
      <alignment vertical="top" wrapText="1"/>
    </xf>
    <xf numFmtId="0" fontId="7" fillId="0" borderId="4" xfId="0" applyFont="1" applyBorder="1" applyAlignment="1">
      <alignment horizontal="left" vertical="top" wrapText="1"/>
    </xf>
    <xf numFmtId="0" fontId="29" fillId="12" borderId="2" xfId="0" applyFont="1" applyFill="1" applyBorder="1" applyAlignment="1">
      <alignment horizontal="left" vertical="center"/>
    </xf>
    <xf numFmtId="0" fontId="29" fillId="12" borderId="4" xfId="0" applyFont="1" applyFill="1" applyBorder="1">
      <alignment vertical="center"/>
    </xf>
    <xf numFmtId="0" fontId="29" fillId="12" borderId="33" xfId="0" applyFont="1" applyFill="1" applyBorder="1">
      <alignment vertical="center"/>
    </xf>
    <xf numFmtId="0" fontId="29" fillId="12" borderId="17" xfId="0" applyFont="1" applyFill="1" applyBorder="1">
      <alignment vertical="center"/>
    </xf>
    <xf numFmtId="0" fontId="29" fillId="0" borderId="17" xfId="0" applyFont="1" applyBorder="1">
      <alignment vertical="center"/>
    </xf>
    <xf numFmtId="0" fontId="48" fillId="2" borderId="13" xfId="0" applyFont="1" applyFill="1" applyBorder="1" applyAlignment="1"/>
    <xf numFmtId="0" fontId="0" fillId="0" borderId="14" xfId="0" applyBorder="1" applyAlignment="1"/>
    <xf numFmtId="0" fontId="40" fillId="0" borderId="0" xfId="0" applyFont="1">
      <alignment vertical="center"/>
    </xf>
    <xf numFmtId="0" fontId="37" fillId="0" borderId="38" xfId="26" applyFont="1" applyBorder="1" applyAlignment="1">
      <alignment horizontal="left" vertical="top" wrapText="1"/>
    </xf>
    <xf numFmtId="0" fontId="48" fillId="2" borderId="39" xfId="0" applyFont="1" applyFill="1" applyBorder="1" applyAlignment="1"/>
    <xf numFmtId="0" fontId="25" fillId="0" borderId="39" xfId="0" applyFont="1" applyBorder="1">
      <alignment vertical="center"/>
    </xf>
    <xf numFmtId="0" fontId="0" fillId="2" borderId="39" xfId="0" applyFill="1" applyBorder="1" applyAlignment="1"/>
    <xf numFmtId="0" fontId="25" fillId="7" borderId="1" xfId="0" applyFont="1" applyFill="1" applyBorder="1" applyAlignment="1"/>
    <xf numFmtId="0" fontId="25" fillId="2" borderId="1" xfId="0" applyFont="1" applyFill="1" applyBorder="1" applyAlignment="1"/>
    <xf numFmtId="0" fontId="48" fillId="2" borderId="7" xfId="0" applyFont="1" applyFill="1" applyBorder="1" applyAlignment="1"/>
    <xf numFmtId="0" fontId="48" fillId="2" borderId="8" xfId="0" applyFont="1" applyFill="1" applyBorder="1" applyAlignment="1"/>
    <xf numFmtId="0" fontId="48" fillId="7" borderId="7" xfId="0" applyFont="1" applyFill="1" applyBorder="1" applyAlignment="1"/>
    <xf numFmtId="0" fontId="48" fillId="7" borderId="8" xfId="0" applyFont="1" applyFill="1" applyBorder="1" applyAlignment="1"/>
    <xf numFmtId="0" fontId="0" fillId="11" borderId="4" xfId="0" applyFill="1" applyBorder="1" applyAlignment="1">
      <alignment horizontal="center" vertical="center"/>
    </xf>
    <xf numFmtId="0" fontId="0" fillId="0" borderId="2" xfId="0" applyBorder="1" applyAlignment="1"/>
    <xf numFmtId="0" fontId="0" fillId="0" borderId="17" xfId="0" applyBorder="1" applyAlignment="1"/>
    <xf numFmtId="0" fontId="0" fillId="0" borderId="4" xfId="0" applyBorder="1" applyAlignment="1">
      <alignment horizontal="center" vertical="center"/>
    </xf>
    <xf numFmtId="0" fontId="37" fillId="0" borderId="5" xfId="26" applyFont="1" applyBorder="1" applyAlignment="1">
      <alignment horizontal="left" vertical="top" wrapText="1"/>
    </xf>
    <xf numFmtId="0" fontId="35" fillId="0" borderId="0" xfId="32" applyFont="1"/>
    <xf numFmtId="0" fontId="29" fillId="11" borderId="5" xfId="32" applyFont="1" applyFill="1" applyBorder="1" applyAlignment="1">
      <alignment horizontal="center" vertical="center" wrapText="1"/>
    </xf>
    <xf numFmtId="0" fontId="35" fillId="0" borderId="0" xfId="32" applyFont="1" applyAlignment="1">
      <alignment vertical="center"/>
    </xf>
    <xf numFmtId="0" fontId="35" fillId="2" borderId="0" xfId="32" applyFont="1" applyFill="1" applyAlignment="1">
      <alignment vertical="center"/>
    </xf>
    <xf numFmtId="0" fontId="29" fillId="11" borderId="2" xfId="32" applyFont="1" applyFill="1" applyBorder="1" applyAlignment="1">
      <alignment vertical="center"/>
    </xf>
    <xf numFmtId="0" fontId="42" fillId="10" borderId="2" xfId="32" applyFont="1" applyFill="1" applyBorder="1" applyAlignment="1">
      <alignment vertical="center"/>
    </xf>
    <xf numFmtId="0" fontId="29" fillId="10" borderId="2" xfId="32" applyFont="1" applyFill="1" applyBorder="1" applyAlignment="1">
      <alignment vertical="center"/>
    </xf>
    <xf numFmtId="0" fontId="35" fillId="2" borderId="2" xfId="33" applyFont="1" applyFill="1" applyBorder="1" applyAlignment="1">
      <alignment horizontal="left" vertical="center"/>
    </xf>
    <xf numFmtId="0" fontId="35" fillId="2" borderId="2" xfId="33" applyFont="1" applyFill="1" applyBorder="1" applyAlignment="1">
      <alignment vertical="center"/>
    </xf>
    <xf numFmtId="49" fontId="35" fillId="2" borderId="2" xfId="33" applyNumberFormat="1" applyFont="1" applyFill="1" applyBorder="1" applyAlignment="1">
      <alignment vertical="center"/>
    </xf>
    <xf numFmtId="49" fontId="35" fillId="0" borderId="2" xfId="33" applyNumberFormat="1" applyFont="1" applyBorder="1" applyAlignment="1">
      <alignment vertical="center"/>
    </xf>
    <xf numFmtId="49" fontId="35" fillId="2" borderId="36" xfId="33" applyNumberFormat="1" applyFont="1" applyFill="1" applyBorder="1" applyAlignment="1">
      <alignment vertical="center" wrapText="1"/>
    </xf>
    <xf numFmtId="0" fontId="42" fillId="0" borderId="13" xfId="33" applyFont="1" applyBorder="1"/>
    <xf numFmtId="0" fontId="42" fillId="0" borderId="0" xfId="33" applyFont="1"/>
    <xf numFmtId="0" fontId="35" fillId="2" borderId="2" xfId="32" applyFont="1" applyFill="1" applyBorder="1" applyAlignment="1">
      <alignment horizontal="left" vertical="center"/>
    </xf>
    <xf numFmtId="0" fontId="35" fillId="2" borderId="2" xfId="32" applyFont="1" applyFill="1" applyBorder="1" applyAlignment="1">
      <alignment vertical="center"/>
    </xf>
    <xf numFmtId="0" fontId="35" fillId="2" borderId="2" xfId="32" applyFont="1" applyFill="1" applyBorder="1" applyAlignment="1">
      <alignment horizontal="center" vertical="center"/>
    </xf>
    <xf numFmtId="49" fontId="29" fillId="2" borderId="2" xfId="32" applyNumberFormat="1" applyFont="1" applyFill="1" applyBorder="1" applyAlignment="1">
      <alignment vertical="center"/>
    </xf>
    <xf numFmtId="49" fontId="35" fillId="0" borderId="2" xfId="32" applyNumberFormat="1" applyFont="1" applyBorder="1" applyAlignment="1">
      <alignment vertical="center"/>
    </xf>
    <xf numFmtId="49" fontId="29" fillId="0" borderId="1" xfId="32" applyNumberFormat="1" applyFont="1" applyBorder="1" applyAlignment="1">
      <alignment vertical="center"/>
    </xf>
    <xf numFmtId="0" fontId="41" fillId="0" borderId="13" xfId="32" applyFont="1" applyBorder="1" applyAlignment="1">
      <alignment vertical="center"/>
    </xf>
    <xf numFmtId="49" fontId="29" fillId="0" borderId="2" xfId="32" applyNumberFormat="1" applyFont="1" applyBorder="1" applyAlignment="1">
      <alignment vertical="center"/>
    </xf>
    <xf numFmtId="49" fontId="29" fillId="2" borderId="1" xfId="32" applyNumberFormat="1" applyFont="1" applyFill="1" applyBorder="1" applyAlignment="1">
      <alignment vertical="center"/>
    </xf>
    <xf numFmtId="0" fontId="41" fillId="2" borderId="2" xfId="32" applyFont="1" applyFill="1" applyBorder="1" applyAlignment="1">
      <alignment horizontal="left" vertical="center"/>
    </xf>
    <xf numFmtId="0" fontId="41" fillId="2" borderId="2" xfId="32" applyFont="1" applyFill="1" applyBorder="1" applyAlignment="1">
      <alignment vertical="center"/>
    </xf>
    <xf numFmtId="0" fontId="41" fillId="2" borderId="2" xfId="32" applyFont="1" applyFill="1" applyBorder="1" applyAlignment="1">
      <alignment horizontal="center" vertical="center"/>
    </xf>
    <xf numFmtId="49" fontId="41" fillId="2" borderId="2" xfId="32" applyNumberFormat="1" applyFont="1" applyFill="1" applyBorder="1" applyAlignment="1">
      <alignment vertical="center"/>
    </xf>
    <xf numFmtId="49" fontId="41" fillId="0" borderId="2" xfId="32" applyNumberFormat="1" applyFont="1" applyBorder="1" applyAlignment="1">
      <alignment vertical="center"/>
    </xf>
    <xf numFmtId="49" fontId="41" fillId="2" borderId="2" xfId="32" applyNumberFormat="1" applyFont="1" applyFill="1" applyBorder="1" applyAlignment="1">
      <alignment vertical="center" wrapText="1"/>
    </xf>
    <xf numFmtId="49" fontId="41" fillId="2" borderId="1" xfId="32" applyNumberFormat="1" applyFont="1" applyFill="1" applyBorder="1" applyAlignment="1">
      <alignment vertical="center"/>
    </xf>
    <xf numFmtId="0" fontId="41" fillId="15" borderId="2" xfId="32" applyFont="1" applyFill="1" applyBorder="1" applyAlignment="1">
      <alignment horizontal="left" vertical="center"/>
    </xf>
    <xf numFmtId="0" fontId="41" fillId="15" borderId="2" xfId="32" applyFont="1" applyFill="1" applyBorder="1" applyAlignment="1">
      <alignment vertical="center"/>
    </xf>
    <xf numFmtId="49" fontId="52" fillId="2" borderId="1" xfId="32" applyNumberFormat="1" applyFont="1" applyFill="1" applyBorder="1" applyAlignment="1">
      <alignment vertical="center" wrapText="1"/>
    </xf>
    <xf numFmtId="0" fontId="42" fillId="0" borderId="13" xfId="32" applyFont="1" applyBorder="1" applyAlignment="1">
      <alignment vertical="center"/>
    </xf>
    <xf numFmtId="0" fontId="42" fillId="0" borderId="13" xfId="32" applyFont="1" applyBorder="1"/>
    <xf numFmtId="49" fontId="41" fillId="2" borderId="33" xfId="32" applyNumberFormat="1" applyFont="1" applyFill="1" applyBorder="1" applyAlignment="1">
      <alignment vertical="center"/>
    </xf>
    <xf numFmtId="0" fontId="42" fillId="0" borderId="0" xfId="32" applyFont="1" applyAlignment="1">
      <alignment vertical="center"/>
    </xf>
    <xf numFmtId="0" fontId="42" fillId="2" borderId="0" xfId="32" applyFont="1" applyFill="1" applyAlignment="1">
      <alignment vertical="center"/>
    </xf>
    <xf numFmtId="0" fontId="41" fillId="0" borderId="13" xfId="32" applyFont="1" applyBorder="1"/>
    <xf numFmtId="0" fontId="29" fillId="2" borderId="0" xfId="32" applyFont="1" applyFill="1" applyAlignment="1">
      <alignment vertical="center"/>
    </xf>
    <xf numFmtId="0" fontId="29" fillId="2" borderId="2" xfId="32" applyFont="1" applyFill="1" applyBorder="1" applyAlignment="1">
      <alignment vertical="center"/>
    </xf>
    <xf numFmtId="49" fontId="41" fillId="2" borderId="1" xfId="32" applyNumberFormat="1" applyFont="1" applyFill="1" applyBorder="1" applyAlignment="1">
      <alignment vertical="center" wrapText="1"/>
    </xf>
    <xf numFmtId="0" fontId="35" fillId="0" borderId="13" xfId="32" quotePrefix="1" applyFont="1" applyBorder="1" applyAlignment="1">
      <alignment vertical="center"/>
    </xf>
    <xf numFmtId="0" fontId="35" fillId="0" borderId="2" xfId="32" applyFont="1" applyBorder="1" applyAlignment="1">
      <alignment horizontal="left" vertical="center"/>
    </xf>
    <xf numFmtId="0" fontId="29" fillId="0" borderId="0" xfId="32" applyFont="1" applyAlignment="1">
      <alignment vertical="center"/>
    </xf>
    <xf numFmtId="0" fontId="35" fillId="12" borderId="4" xfId="0" applyFont="1" applyFill="1" applyBorder="1">
      <alignment vertical="center"/>
    </xf>
    <xf numFmtId="0" fontId="41" fillId="0" borderId="2" xfId="32" applyFont="1" applyBorder="1"/>
    <xf numFmtId="49" fontId="41" fillId="0" borderId="1" xfId="32" applyNumberFormat="1" applyFont="1" applyBorder="1" applyAlignment="1">
      <alignment vertical="center"/>
    </xf>
    <xf numFmtId="0" fontId="29" fillId="0" borderId="8" xfId="0" applyFont="1" applyBorder="1" applyAlignment="1">
      <alignment horizontal="left" wrapText="1"/>
    </xf>
    <xf numFmtId="0" fontId="42" fillId="0" borderId="0" xfId="32" applyFont="1"/>
    <xf numFmtId="0" fontId="41" fillId="0" borderId="2" xfId="32" applyFont="1" applyBorder="1" applyAlignment="1">
      <alignment horizontal="right"/>
    </xf>
    <xf numFmtId="49" fontId="41" fillId="0" borderId="2" xfId="32" quotePrefix="1" applyNumberFormat="1" applyFont="1" applyBorder="1" applyAlignment="1">
      <alignment vertical="center"/>
    </xf>
    <xf numFmtId="0" fontId="29" fillId="2" borderId="2" xfId="33" applyFont="1" applyFill="1" applyBorder="1" applyAlignment="1">
      <alignment horizontal="left" vertical="center"/>
    </xf>
    <xf numFmtId="0" fontId="41" fillId="0" borderId="1" xfId="32" applyFont="1" applyBorder="1"/>
    <xf numFmtId="0" fontId="41" fillId="0" borderId="2" xfId="32" applyFont="1" applyBorder="1" applyAlignment="1">
      <alignment wrapText="1"/>
    </xf>
    <xf numFmtId="0" fontId="35" fillId="2" borderId="2" xfId="33" applyFont="1" applyFill="1" applyBorder="1" applyAlignment="1">
      <alignment horizontal="left" vertical="center" wrapText="1"/>
    </xf>
    <xf numFmtId="0" fontId="35" fillId="0" borderId="13" xfId="32" applyFont="1" applyBorder="1"/>
    <xf numFmtId="0" fontId="41" fillId="2" borderId="0" xfId="32" applyFont="1" applyFill="1" applyAlignment="1">
      <alignment horizontal="left" vertical="center"/>
    </xf>
    <xf numFmtId="0" fontId="41" fillId="0" borderId="0" xfId="32" applyFont="1"/>
    <xf numFmtId="0" fontId="41" fillId="0" borderId="0" xfId="32" applyFont="1" applyAlignment="1">
      <alignment horizontal="left"/>
    </xf>
    <xf numFmtId="0" fontId="41" fillId="2" borderId="0" xfId="32" applyFont="1" applyFill="1" applyAlignment="1">
      <alignment vertical="center"/>
    </xf>
    <xf numFmtId="0" fontId="41" fillId="2" borderId="0" xfId="32" applyFont="1" applyFill="1" applyAlignment="1">
      <alignment horizontal="center" vertical="center"/>
    </xf>
    <xf numFmtId="49" fontId="41" fillId="2" borderId="0" xfId="32" applyNumberFormat="1" applyFont="1" applyFill="1" applyAlignment="1">
      <alignment vertical="center"/>
    </xf>
    <xf numFmtId="49" fontId="41" fillId="2" borderId="0" xfId="32" applyNumberFormat="1" applyFont="1" applyFill="1" applyAlignment="1">
      <alignment horizontal="right" vertical="center"/>
    </xf>
    <xf numFmtId="0" fontId="41" fillId="0" borderId="2" xfId="32" applyFont="1" applyBorder="1" applyAlignment="1">
      <alignment horizontal="left" vertical="center"/>
    </xf>
    <xf numFmtId="0" fontId="41" fillId="2" borderId="34" xfId="32" applyFont="1" applyFill="1" applyBorder="1" applyAlignment="1">
      <alignment horizontal="left" vertical="center"/>
    </xf>
    <xf numFmtId="0" fontId="41" fillId="2" borderId="34" xfId="32" applyFont="1" applyFill="1" applyBorder="1" applyAlignment="1">
      <alignment vertical="center"/>
    </xf>
    <xf numFmtId="0" fontId="41" fillId="2" borderId="34" xfId="32" applyFont="1" applyFill="1" applyBorder="1" applyAlignment="1">
      <alignment horizontal="center" vertical="center"/>
    </xf>
    <xf numFmtId="49" fontId="41" fillId="0" borderId="34" xfId="32" applyNumberFormat="1" applyFont="1" applyBorder="1" applyAlignment="1">
      <alignment vertical="center" wrapText="1"/>
    </xf>
    <xf numFmtId="49" fontId="41" fillId="0" borderId="34" xfId="32" applyNumberFormat="1" applyFont="1" applyBorder="1" applyAlignment="1">
      <alignment vertical="center"/>
    </xf>
    <xf numFmtId="49" fontId="41" fillId="0" borderId="35" xfId="32" applyNumberFormat="1" applyFont="1" applyBorder="1" applyAlignment="1">
      <alignment vertical="center" wrapText="1"/>
    </xf>
    <xf numFmtId="0" fontId="41" fillId="2" borderId="4" xfId="32" applyFont="1" applyFill="1" applyBorder="1" applyAlignment="1">
      <alignment horizontal="left" vertical="center"/>
    </xf>
    <xf numFmtId="0" fontId="41" fillId="2" borderId="4" xfId="32" applyFont="1" applyFill="1" applyBorder="1" applyAlignment="1">
      <alignment vertical="center"/>
    </xf>
    <xf numFmtId="0" fontId="35" fillId="2" borderId="2" xfId="34" applyFont="1" applyFill="1" applyBorder="1" applyAlignment="1">
      <alignment horizontal="left" vertical="center"/>
    </xf>
    <xf numFmtId="0" fontId="29" fillId="2" borderId="2" xfId="34" applyFont="1" applyFill="1" applyBorder="1" applyAlignment="1">
      <alignment horizontal="left" vertical="center"/>
    </xf>
    <xf numFmtId="0" fontId="41" fillId="0" borderId="2" xfId="32" applyFont="1" applyBorder="1" applyAlignment="1">
      <alignment vertical="center"/>
    </xf>
    <xf numFmtId="49" fontId="41" fillId="0" borderId="2" xfId="32" applyNumberFormat="1" applyFont="1" applyBorder="1" applyAlignment="1">
      <alignment vertical="center" wrapText="1"/>
    </xf>
    <xf numFmtId="49" fontId="41" fillId="0" borderId="2" xfId="32" quotePrefix="1" applyNumberFormat="1" applyFont="1" applyBorder="1" applyAlignment="1">
      <alignment vertical="top" wrapText="1"/>
    </xf>
    <xf numFmtId="49" fontId="41" fillId="2" borderId="36" xfId="32" applyNumberFormat="1" applyFont="1" applyFill="1" applyBorder="1" applyAlignment="1">
      <alignment vertical="center" wrapText="1"/>
    </xf>
    <xf numFmtId="49" fontId="41" fillId="2" borderId="37" xfId="32" applyNumberFormat="1" applyFont="1" applyFill="1" applyBorder="1" applyAlignment="1">
      <alignment vertical="center" wrapText="1"/>
    </xf>
    <xf numFmtId="0" fontId="41" fillId="0" borderId="2" xfId="32" applyFont="1" applyBorder="1" applyAlignment="1">
      <alignment horizontal="left"/>
    </xf>
    <xf numFmtId="0" fontId="35" fillId="0" borderId="2" xfId="32" applyFont="1" applyBorder="1"/>
    <xf numFmtId="0" fontId="35" fillId="0" borderId="2" xfId="32" applyFont="1" applyBorder="1" applyAlignment="1">
      <alignment horizontal="left"/>
    </xf>
    <xf numFmtId="0" fontId="42" fillId="0" borderId="2" xfId="32" applyFont="1" applyBorder="1"/>
    <xf numFmtId="0" fontId="35" fillId="0" borderId="1" xfId="32" applyFont="1" applyBorder="1"/>
    <xf numFmtId="49" fontId="45" fillId="0" borderId="2" xfId="25" applyNumberFormat="1" applyFont="1" applyBorder="1" applyAlignment="1">
      <alignment horizontal="left" vertical="center"/>
    </xf>
    <xf numFmtId="0" fontId="45" fillId="0" borderId="2" xfId="26" applyFont="1" applyBorder="1" applyAlignment="1">
      <alignment horizontal="left" vertical="top"/>
    </xf>
    <xf numFmtId="0" fontId="45" fillId="0" borderId="2" xfId="26" applyFont="1" applyBorder="1" applyAlignment="1">
      <alignment horizontal="center" vertical="center"/>
    </xf>
    <xf numFmtId="0" fontId="45" fillId="0" borderId="2" xfId="26" applyFont="1" applyBorder="1" applyAlignment="1">
      <alignment horizontal="left" vertical="top" wrapText="1"/>
    </xf>
    <xf numFmtId="0" fontId="25" fillId="2" borderId="2" xfId="0" quotePrefix="1" applyFont="1" applyFill="1" applyBorder="1" applyAlignment="1">
      <alignment vertical="top"/>
    </xf>
    <xf numFmtId="0" fontId="58" fillId="0" borderId="2" xfId="26" applyFont="1" applyBorder="1" applyAlignment="1">
      <alignment horizontal="left" vertical="top" wrapText="1"/>
    </xf>
    <xf numFmtId="0" fontId="45" fillId="0" borderId="0" xfId="25" applyFont="1" applyAlignment="1">
      <alignment vertical="top"/>
    </xf>
    <xf numFmtId="0" fontId="58" fillId="0" borderId="2" xfId="26" quotePrefix="1" applyFont="1" applyBorder="1" applyAlignment="1">
      <alignment horizontal="left" vertical="top" wrapText="1"/>
    </xf>
    <xf numFmtId="0" fontId="37" fillId="0" borderId="2" xfId="26" quotePrefix="1" applyFont="1" applyBorder="1" applyAlignment="1">
      <alignment horizontal="left" vertical="top" wrapText="1"/>
    </xf>
    <xf numFmtId="0" fontId="37" fillId="0" borderId="9" xfId="25" applyFont="1" applyBorder="1" applyAlignment="1">
      <alignment vertical="top" wrapText="1"/>
    </xf>
    <xf numFmtId="0" fontId="0" fillId="0" borderId="5" xfId="0" applyBorder="1" applyAlignment="1">
      <alignment horizontal="left" vertical="top" wrapText="1"/>
    </xf>
    <xf numFmtId="0" fontId="45" fillId="0" borderId="2" xfId="25" applyFont="1" applyBorder="1" applyAlignment="1">
      <alignment vertical="top" wrapText="1"/>
    </xf>
    <xf numFmtId="0" fontId="37" fillId="17" borderId="5" xfId="25" applyFont="1" applyFill="1" applyBorder="1"/>
    <xf numFmtId="0" fontId="37" fillId="17" borderId="5" xfId="25" applyFont="1" applyFill="1" applyBorder="1" applyAlignment="1">
      <alignment vertical="top"/>
    </xf>
    <xf numFmtId="0" fontId="37" fillId="17" borderId="5" xfId="26" applyFont="1" applyFill="1" applyBorder="1" applyAlignment="1">
      <alignment vertical="top"/>
    </xf>
    <xf numFmtId="0" fontId="38" fillId="17" borderId="5" xfId="0" applyFont="1" applyFill="1" applyBorder="1" applyAlignment="1">
      <alignment horizontal="left" vertical="top"/>
    </xf>
    <xf numFmtId="0" fontId="37" fillId="17" borderId="5" xfId="25" applyFont="1" applyFill="1" applyBorder="1" applyAlignment="1">
      <alignment horizontal="left"/>
    </xf>
    <xf numFmtId="0" fontId="37" fillId="17" borderId="5" xfId="0" applyFont="1" applyFill="1" applyBorder="1" applyAlignment="1">
      <alignment horizontal="left" vertical="top"/>
    </xf>
    <xf numFmtId="0" fontId="37" fillId="0" borderId="5" xfId="26" applyFont="1" applyBorder="1" applyAlignment="1">
      <alignment vertical="top" wrapText="1"/>
    </xf>
    <xf numFmtId="0" fontId="37" fillId="0" borderId="2" xfId="0" applyFont="1" applyBorder="1">
      <alignment vertical="center"/>
    </xf>
    <xf numFmtId="49" fontId="37" fillId="18" borderId="2" xfId="25" applyNumberFormat="1" applyFont="1" applyFill="1" applyBorder="1" applyAlignment="1">
      <alignment horizontal="left" vertical="center"/>
    </xf>
    <xf numFmtId="0" fontId="53" fillId="0" borderId="2" xfId="19" applyFont="1" applyBorder="1" applyAlignment="1">
      <alignment horizontal="left"/>
    </xf>
    <xf numFmtId="0" fontId="53" fillId="0" borderId="2" xfId="0" applyFont="1" applyBorder="1" applyAlignment="1">
      <alignment horizontal="left" vertical="center"/>
    </xf>
    <xf numFmtId="0" fontId="53" fillId="0" borderId="2" xfId="19" applyFont="1" applyBorder="1" applyAlignment="1">
      <alignment horizontal="center"/>
    </xf>
    <xf numFmtId="0" fontId="25" fillId="18" borderId="2" xfId="0" quotePrefix="1" applyFont="1" applyFill="1" applyBorder="1" applyAlignment="1">
      <alignment horizontal="center" vertical="top"/>
    </xf>
    <xf numFmtId="0" fontId="25" fillId="18" borderId="2" xfId="0" quotePrefix="1" applyFont="1" applyFill="1" applyBorder="1" applyAlignment="1">
      <alignment horizontal="left" vertical="top"/>
    </xf>
    <xf numFmtId="0" fontId="40" fillId="0" borderId="0" xfId="0" quotePrefix="1" applyFont="1">
      <alignment vertical="center"/>
    </xf>
    <xf numFmtId="0" fontId="19" fillId="2" borderId="2" xfId="4" applyFill="1" applyBorder="1" applyAlignment="1" applyProtection="1">
      <alignment vertical="top" wrapText="1"/>
    </xf>
    <xf numFmtId="0" fontId="29" fillId="0" borderId="2" xfId="33" applyFont="1" applyBorder="1" applyAlignment="1">
      <alignment horizontal="left" vertical="center"/>
    </xf>
    <xf numFmtId="0" fontId="29" fillId="0" borderId="33" xfId="33" applyFont="1" applyBorder="1"/>
    <xf numFmtId="0" fontId="41" fillId="0" borderId="1" xfId="32" applyFont="1" applyBorder="1" applyAlignment="1">
      <alignment wrapText="1"/>
    </xf>
    <xf numFmtId="0" fontId="37" fillId="0" borderId="4" xfId="26" applyFont="1" applyBorder="1" applyAlignment="1">
      <alignment horizontal="left" vertical="top" wrapText="1"/>
    </xf>
    <xf numFmtId="0" fontId="25" fillId="7" borderId="1" xfId="0" applyFont="1" applyFill="1" applyBorder="1" applyAlignment="1">
      <alignment vertical="top" shrinkToFit="1"/>
    </xf>
    <xf numFmtId="0" fontId="25" fillId="7" borderId="7" xfId="0" applyFont="1" applyFill="1" applyBorder="1" applyAlignment="1">
      <alignment vertical="top" shrinkToFit="1"/>
    </xf>
    <xf numFmtId="0" fontId="25" fillId="7" borderId="8" xfId="0" applyFont="1" applyFill="1" applyBorder="1" applyAlignment="1">
      <alignment vertical="top" shrinkToFit="1"/>
    </xf>
    <xf numFmtId="0" fontId="25" fillId="2" borderId="1" xfId="0" applyFont="1" applyFill="1" applyBorder="1" applyAlignment="1"/>
    <xf numFmtId="0" fontId="48" fillId="0" borderId="7" xfId="0" applyFont="1" applyBorder="1" applyAlignment="1"/>
    <xf numFmtId="0" fontId="48" fillId="0" borderId="8" xfId="0" applyFont="1" applyBorder="1" applyAlignment="1"/>
    <xf numFmtId="0" fontId="25" fillId="7" borderId="1" xfId="0" applyFont="1" applyFill="1" applyBorder="1" applyAlignment="1">
      <alignment horizontal="left" vertical="top"/>
    </xf>
    <xf numFmtId="0" fontId="25" fillId="7" borderId="7" xfId="0" applyFont="1" applyFill="1" applyBorder="1" applyAlignment="1">
      <alignment horizontal="left" vertical="top"/>
    </xf>
    <xf numFmtId="0" fontId="25" fillId="7" borderId="8" xfId="0" applyFont="1" applyFill="1" applyBorder="1" applyAlignment="1">
      <alignment horizontal="left" vertical="top"/>
    </xf>
    <xf numFmtId="0" fontId="48" fillId="7" borderId="7" xfId="0" applyFont="1" applyFill="1" applyBorder="1" applyAlignment="1">
      <alignment vertical="top" shrinkToFit="1"/>
    </xf>
    <xf numFmtId="0" fontId="48" fillId="7" borderId="8" xfId="0" applyFont="1" applyFill="1" applyBorder="1" applyAlignment="1">
      <alignment vertical="top" shrinkToFit="1"/>
    </xf>
    <xf numFmtId="0" fontId="25" fillId="7" borderId="14" xfId="0" applyFont="1" applyFill="1" applyBorder="1" applyAlignment="1">
      <alignment horizontal="left" vertical="top"/>
    </xf>
    <xf numFmtId="0" fontId="25" fillId="7" borderId="15" xfId="0" applyFont="1" applyFill="1" applyBorder="1" applyAlignment="1">
      <alignment horizontal="left" vertical="top"/>
    </xf>
    <xf numFmtId="0" fontId="25" fillId="7" borderId="17" xfId="0" applyFont="1" applyFill="1" applyBorder="1" applyAlignment="1">
      <alignment horizontal="left" vertical="top"/>
    </xf>
    <xf numFmtId="0" fontId="25" fillId="7" borderId="1" xfId="0" applyFont="1" applyFill="1" applyBorder="1" applyAlignment="1"/>
    <xf numFmtId="0" fontId="25" fillId="7" borderId="18" xfId="0" applyFont="1" applyFill="1" applyBorder="1" applyAlignment="1"/>
    <xf numFmtId="0" fontId="48" fillId="0" borderId="19" xfId="0" applyFont="1" applyBorder="1" applyAlignment="1"/>
    <xf numFmtId="0" fontId="48" fillId="0" borderId="20" xfId="0" applyFont="1" applyBorder="1" applyAlignment="1"/>
    <xf numFmtId="0" fontId="25" fillId="0" borderId="1" xfId="0" applyFont="1" applyBorder="1" applyAlignment="1">
      <alignment horizontal="left"/>
    </xf>
    <xf numFmtId="0" fontId="25" fillId="0" borderId="7" xfId="0" applyFont="1" applyBorder="1" applyAlignment="1">
      <alignment horizontal="left"/>
    </xf>
    <xf numFmtId="0" fontId="25" fillId="0" borderId="8" xfId="0" applyFont="1" applyBorder="1" applyAlignment="1">
      <alignment horizontal="left"/>
    </xf>
    <xf numFmtId="0" fontId="25" fillId="0" borderId="1" xfId="0" applyFont="1" applyBorder="1" applyAlignment="1"/>
    <xf numFmtId="0" fontId="32" fillId="7" borderId="1" xfId="0" applyFont="1" applyFill="1" applyBorder="1" applyAlignment="1">
      <alignment shrinkToFit="1"/>
    </xf>
    <xf numFmtId="0" fontId="48" fillId="0" borderId="7" xfId="0" applyFont="1" applyBorder="1" applyAlignment="1">
      <alignment shrinkToFit="1"/>
    </xf>
    <xf numFmtId="0" fontId="48" fillId="0" borderId="8" xfId="0" applyFont="1" applyBorder="1" applyAlignment="1">
      <alignment shrinkToFit="1"/>
    </xf>
    <xf numFmtId="0" fontId="37" fillId="2" borderId="1" xfId="0" applyFont="1" applyFill="1" applyBorder="1" applyAlignment="1"/>
    <xf numFmtId="0" fontId="48" fillId="2" borderId="7" xfId="0" applyFont="1" applyFill="1" applyBorder="1" applyAlignment="1"/>
    <xf numFmtId="0" fontId="48" fillId="2" borderId="8" xfId="0" applyFont="1" applyFill="1" applyBorder="1" applyAlignment="1"/>
    <xf numFmtId="0" fontId="48" fillId="7" borderId="7" xfId="0" applyFont="1" applyFill="1" applyBorder="1" applyAlignment="1"/>
    <xf numFmtId="0" fontId="48" fillId="7" borderId="8" xfId="0" applyFont="1" applyFill="1" applyBorder="1" applyAlignment="1"/>
    <xf numFmtId="0" fontId="25" fillId="7" borderId="1" xfId="0" applyFont="1" applyFill="1" applyBorder="1" applyAlignment="1">
      <alignment horizontal="left"/>
    </xf>
    <xf numFmtId="0" fontId="48" fillId="0" borderId="7" xfId="0" applyFont="1" applyBorder="1" applyAlignment="1">
      <alignment horizontal="left"/>
    </xf>
    <xf numFmtId="0" fontId="48" fillId="0" borderId="8" xfId="0" applyFont="1" applyBorder="1" applyAlignment="1">
      <alignment horizontal="left"/>
    </xf>
    <xf numFmtId="0" fontId="25" fillId="16" borderId="1" xfId="0" applyFont="1" applyFill="1" applyBorder="1" applyAlignment="1"/>
    <xf numFmtId="0" fontId="25" fillId="16" borderId="7" xfId="0" applyFont="1" applyFill="1" applyBorder="1" applyAlignment="1"/>
    <xf numFmtId="0" fontId="25" fillId="16" borderId="8" xfId="0" applyFont="1" applyFill="1" applyBorder="1" applyAlignment="1"/>
    <xf numFmtId="0" fontId="25" fillId="12" borderId="1" xfId="0" applyFont="1" applyFill="1" applyBorder="1" applyAlignment="1"/>
    <xf numFmtId="0" fontId="25" fillId="12" borderId="7" xfId="0" applyFont="1" applyFill="1" applyBorder="1" applyAlignment="1"/>
    <xf numFmtId="0" fontId="29" fillId="10" borderId="5" xfId="32" applyFont="1" applyFill="1" applyBorder="1" applyAlignment="1">
      <alignment horizontal="center" vertical="center" wrapText="1"/>
    </xf>
    <xf numFmtId="0" fontId="0" fillId="10" borderId="4" xfId="0" applyFill="1" applyBorder="1" applyAlignment="1">
      <alignment horizontal="center" vertical="center"/>
    </xf>
    <xf numFmtId="0" fontId="29" fillId="10" borderId="5" xfId="32" applyFont="1" applyFill="1" applyBorder="1" applyAlignment="1">
      <alignment horizontal="center" vertical="center"/>
    </xf>
    <xf numFmtId="0" fontId="42" fillId="10" borderId="2" xfId="32" applyFont="1" applyFill="1" applyBorder="1"/>
    <xf numFmtId="0" fontId="44" fillId="10" borderId="2" xfId="0" applyFont="1" applyFill="1" applyBorder="1" applyAlignment="1"/>
    <xf numFmtId="0" fontId="34" fillId="11" borderId="1" xfId="32" applyFont="1" applyFill="1" applyBorder="1"/>
    <xf numFmtId="0" fontId="0" fillId="11" borderId="7" xfId="0" applyFill="1" applyBorder="1" applyAlignment="1"/>
    <xf numFmtId="0" fontId="0" fillId="0" borderId="7" xfId="0" applyBorder="1" applyAlignment="1"/>
    <xf numFmtId="0" fontId="0" fillId="0" borderId="8" xfId="0" applyBorder="1" applyAlignment="1"/>
    <xf numFmtId="0" fontId="34" fillId="10" borderId="1" xfId="32" applyFont="1" applyFill="1" applyBorder="1"/>
    <xf numFmtId="0" fontId="0" fillId="10" borderId="7" xfId="0" applyFill="1" applyBorder="1" applyAlignment="1"/>
    <xf numFmtId="0" fontId="34" fillId="9" borderId="2" xfId="32" applyFont="1" applyFill="1" applyBorder="1"/>
    <xf numFmtId="0" fontId="0" fillId="9" borderId="2" xfId="0" applyFill="1" applyBorder="1" applyAlignment="1"/>
    <xf numFmtId="0" fontId="35" fillId="6" borderId="9" xfId="32" applyFont="1" applyFill="1" applyBorder="1" applyAlignment="1">
      <alignment vertical="top"/>
    </xf>
    <xf numFmtId="0" fontId="0" fillId="6" borderId="13" xfId="0" applyFill="1" applyBorder="1" applyAlignment="1">
      <alignment vertical="top"/>
    </xf>
    <xf numFmtId="0" fontId="0" fillId="6" borderId="14" xfId="0" applyFill="1" applyBorder="1" applyAlignment="1">
      <alignment vertical="top"/>
    </xf>
    <xf numFmtId="0" fontId="35" fillId="0" borderId="13" xfId="32" applyFont="1" applyBorder="1" applyAlignment="1">
      <alignment horizontal="center" wrapText="1"/>
    </xf>
    <xf numFmtId="0" fontId="35" fillId="0" borderId="13" xfId="32" applyFont="1" applyBorder="1" applyAlignment="1">
      <alignment horizontal="center"/>
    </xf>
    <xf numFmtId="0" fontId="29" fillId="11" borderId="5" xfId="32" applyFont="1" applyFill="1" applyBorder="1" applyAlignment="1">
      <alignment horizontal="center" vertical="center"/>
    </xf>
    <xf numFmtId="0" fontId="0" fillId="11" borderId="4" xfId="0" applyFill="1" applyBorder="1" applyAlignment="1">
      <alignment horizontal="center" vertical="center"/>
    </xf>
    <xf numFmtId="0" fontId="29" fillId="11" borderId="5" xfId="32" applyFont="1" applyFill="1" applyBorder="1" applyAlignment="1">
      <alignment horizontal="center" vertical="center" wrapText="1"/>
    </xf>
    <xf numFmtId="0" fontId="29" fillId="11" borderId="2" xfId="32" applyFont="1" applyFill="1" applyBorder="1"/>
    <xf numFmtId="0" fontId="0" fillId="11" borderId="2" xfId="0" applyFill="1" applyBorder="1" applyAlignment="1"/>
    <xf numFmtId="0" fontId="0" fillId="10" borderId="2" xfId="0" applyFill="1" applyBorder="1" applyAlignment="1"/>
    <xf numFmtId="0" fontId="35" fillId="9" borderId="2" xfId="32" applyFont="1" applyFill="1" applyBorder="1" applyAlignment="1">
      <alignment horizontal="center" vertical="center"/>
    </xf>
    <xf numFmtId="0" fontId="0" fillId="0" borderId="2" xfId="0" applyBorder="1" applyAlignment="1"/>
    <xf numFmtId="0" fontId="0" fillId="0" borderId="7" xfId="0" applyBorder="1" applyAlignment="1">
      <alignment horizontal="left"/>
    </xf>
    <xf numFmtId="0" fontId="0" fillId="0" borderId="8" xfId="0" applyBorder="1" applyAlignment="1">
      <alignment horizontal="left"/>
    </xf>
    <xf numFmtId="0" fontId="25" fillId="7" borderId="14" xfId="0" applyFont="1" applyFill="1" applyBorder="1" applyAlignment="1"/>
    <xf numFmtId="0" fontId="0" fillId="0" borderId="15" xfId="0" applyBorder="1" applyAlignment="1"/>
    <xf numFmtId="0" fontId="0" fillId="0" borderId="17" xfId="0" applyBorder="1" applyAlignment="1"/>
    <xf numFmtId="0" fontId="38" fillId="6" borderId="2" xfId="0" applyFont="1" applyFill="1" applyBorder="1" applyAlignment="1"/>
    <xf numFmtId="0" fontId="37" fillId="0" borderId="5" xfId="26" applyFont="1" applyBorder="1" applyAlignment="1">
      <alignment horizontal="left" vertical="top" wrapText="1"/>
    </xf>
    <xf numFmtId="0" fontId="0" fillId="0" borderId="38" xfId="0" applyBorder="1" applyAlignment="1">
      <alignment horizontal="left" vertical="top" wrapText="1"/>
    </xf>
    <xf numFmtId="0" fontId="0" fillId="0" borderId="5" xfId="0" applyBorder="1" applyAlignment="1">
      <alignment horizontal="left" vertical="top" wrapText="1"/>
    </xf>
    <xf numFmtId="0" fontId="0" fillId="0" borderId="4" xfId="0" applyBorder="1" applyAlignment="1">
      <alignment horizontal="left" vertical="top" wrapText="1"/>
    </xf>
    <xf numFmtId="49" fontId="37" fillId="0" borderId="5" xfId="25" applyNumberFormat="1" applyFont="1" applyBorder="1" applyAlignment="1">
      <alignment horizontal="left" vertical="center"/>
    </xf>
    <xf numFmtId="0" fontId="0" fillId="0" borderId="38" xfId="0" applyBorder="1" applyAlignment="1">
      <alignment horizontal="left" vertical="center"/>
    </xf>
    <xf numFmtId="0" fontId="37" fillId="0" borderId="5" xfId="25" applyFont="1" applyBorder="1" applyAlignment="1">
      <alignment vertical="top" wrapText="1"/>
    </xf>
    <xf numFmtId="0" fontId="48" fillId="0" borderId="4" xfId="0" applyFont="1" applyBorder="1" applyAlignment="1">
      <alignment vertical="top"/>
    </xf>
    <xf numFmtId="0" fontId="37" fillId="0" borderId="5" xfId="26" applyFont="1" applyBorder="1" applyAlignment="1">
      <alignment horizontal="left" vertical="top"/>
    </xf>
    <xf numFmtId="0" fontId="0" fillId="0" borderId="4" xfId="0" applyBorder="1" applyAlignment="1">
      <alignment horizontal="left" vertical="top"/>
    </xf>
    <xf numFmtId="0" fontId="37" fillId="0" borderId="5" xfId="26" applyFont="1" applyBorder="1" applyAlignment="1">
      <alignment horizontal="center" vertical="center"/>
    </xf>
    <xf numFmtId="0" fontId="0" fillId="0" borderId="38" xfId="0" applyBorder="1" applyAlignment="1">
      <alignment horizontal="center" vertical="center"/>
    </xf>
    <xf numFmtId="0" fontId="38" fillId="0" borderId="5" xfId="0" applyFont="1" applyBorder="1" applyAlignment="1">
      <alignment horizontal="left" vertical="center"/>
    </xf>
    <xf numFmtId="0" fontId="38" fillId="0" borderId="38" xfId="0" applyFont="1" applyBorder="1" applyAlignment="1">
      <alignment horizontal="left" vertical="center"/>
    </xf>
    <xf numFmtId="0" fontId="0" fillId="0" borderId="4" xfId="0" applyBorder="1" applyAlignment="1">
      <alignment horizontal="left" vertical="center"/>
    </xf>
    <xf numFmtId="0" fontId="38" fillId="0" borderId="5" xfId="0" applyFont="1" applyBorder="1" applyAlignment="1">
      <alignment vertical="top" wrapText="1"/>
    </xf>
    <xf numFmtId="0" fontId="38" fillId="0" borderId="38" xfId="0" applyFont="1" applyBorder="1" applyAlignment="1">
      <alignment vertical="top" wrapText="1"/>
    </xf>
    <xf numFmtId="0" fontId="38" fillId="0" borderId="4" xfId="0" applyFont="1" applyBorder="1" applyAlignment="1">
      <alignment vertical="top" wrapText="1"/>
    </xf>
    <xf numFmtId="0" fontId="38" fillId="0" borderId="5" xfId="0" applyFont="1" applyBorder="1" applyAlignment="1">
      <alignment horizontal="left" vertical="top"/>
    </xf>
    <xf numFmtId="0" fontId="38" fillId="0" borderId="38" xfId="0" applyFont="1" applyBorder="1" applyAlignment="1">
      <alignment horizontal="left" vertical="top"/>
    </xf>
    <xf numFmtId="0" fontId="38" fillId="0" borderId="4" xfId="0" applyFont="1" applyBorder="1" applyAlignment="1">
      <alignment horizontal="left" vertical="top"/>
    </xf>
    <xf numFmtId="0" fontId="0" fillId="0" borderId="5" xfId="0" applyBorder="1" applyAlignment="1">
      <alignment horizontal="center" vertical="center"/>
    </xf>
    <xf numFmtId="0" fontId="0" fillId="0" borderId="38" xfId="0" applyBorder="1">
      <alignment vertical="center"/>
    </xf>
    <xf numFmtId="0" fontId="0" fillId="0" borderId="4" xfId="0" applyBorder="1">
      <alignment vertical="center"/>
    </xf>
    <xf numFmtId="0" fontId="25" fillId="2" borderId="5" xfId="0" quotePrefix="1" applyFont="1" applyFill="1" applyBorder="1" applyAlignment="1">
      <alignment horizontal="center" vertical="top"/>
    </xf>
    <xf numFmtId="0" fontId="0" fillId="0" borderId="38" xfId="0" applyBorder="1" applyAlignment="1">
      <alignment horizontal="center" vertical="top"/>
    </xf>
    <xf numFmtId="0" fontId="0" fillId="0" borderId="4" xfId="0" applyBorder="1" applyAlignment="1">
      <alignment horizontal="center" vertical="top"/>
    </xf>
    <xf numFmtId="0" fontId="25" fillId="2" borderId="5" xfId="0" quotePrefix="1" applyFont="1" applyFill="1" applyBorder="1" applyAlignment="1">
      <alignment horizontal="left" vertical="top"/>
    </xf>
    <xf numFmtId="0" fontId="0" fillId="0" borderId="38" xfId="0" applyBorder="1" applyAlignment="1">
      <alignment horizontal="left" vertical="top"/>
    </xf>
    <xf numFmtId="0" fontId="25" fillId="2" borderId="5" xfId="0" applyFont="1" applyFill="1" applyBorder="1" applyAlignment="1">
      <alignment vertical="top"/>
    </xf>
    <xf numFmtId="0" fontId="0" fillId="0" borderId="38" xfId="0" applyBorder="1" applyAlignment="1">
      <alignment vertical="top"/>
    </xf>
    <xf numFmtId="0" fontId="0" fillId="0" borderId="4" xfId="0" applyBorder="1" applyAlignment="1">
      <alignment vertical="top"/>
    </xf>
    <xf numFmtId="0" fontId="25" fillId="2" borderId="5" xfId="0" applyFont="1" applyFill="1" applyBorder="1" applyAlignment="1">
      <alignment vertical="top" wrapText="1"/>
    </xf>
    <xf numFmtId="0" fontId="0" fillId="0" borderId="38" xfId="0" applyBorder="1" applyAlignment="1">
      <alignment vertical="top" wrapText="1"/>
    </xf>
    <xf numFmtId="0" fontId="0" fillId="0" borderId="4" xfId="0" applyBorder="1" applyAlignment="1">
      <alignment vertical="top" wrapText="1"/>
    </xf>
  </cellXfs>
  <cellStyles count="35">
    <cellStyle name="Comma [0] 2" xfId="5" xr:uid="{00000000-0005-0000-0000-000000000000}"/>
    <cellStyle name="Hyperlink" xfId="4" xr:uid="{8431C890-B74F-4D46-8151-5AB4D5CA90FD}"/>
    <cellStyle name="IBM(401K)" xfId="6" xr:uid="{00000000-0005-0000-0000-000001000000}"/>
    <cellStyle name="J401K" xfId="7" xr:uid="{00000000-0005-0000-0000-000002000000}"/>
    <cellStyle name="Normal 2" xfId="8" xr:uid="{00000000-0005-0000-0000-000003000000}"/>
    <cellStyle name="Normal 2 2" xfId="21" xr:uid="{6F82FBCF-964A-4737-9272-9E75D6C97BC0}"/>
    <cellStyle name="スタイル 1" xfId="9" xr:uid="{00000000-0005-0000-0000-000004000000}"/>
    <cellStyle name="ハイパーリンク 2" xfId="24" xr:uid="{FB496533-BD47-4554-AC71-75C4EDEED5D3}"/>
    <cellStyle name="標準" xfId="0" builtinId="0"/>
    <cellStyle name="標準 2" xfId="1" xr:uid="{00000000-0005-0000-0000-000007000000}"/>
    <cellStyle name="標準 2 10 3" xfId="25" xr:uid="{616B2E34-6AA4-44DD-97E4-0D2388A5BF65}"/>
    <cellStyle name="標準 2 2" xfId="13" xr:uid="{00000000-0005-0000-0000-000008000000}"/>
    <cellStyle name="標準 2 3" xfId="15" xr:uid="{00000000-0005-0000-0000-000009000000}"/>
    <cellStyle name="標準 2 3 2" xfId="19" xr:uid="{D8B1D54F-43A3-442D-8CA5-88C921463A0F}"/>
    <cellStyle name="標準 2 4" xfId="12" xr:uid="{00000000-0005-0000-0000-00000A000000}"/>
    <cellStyle name="標準 3" xfId="2" xr:uid="{00000000-0005-0000-0000-00000B000000}"/>
    <cellStyle name="標準 3 2" xfId="3" xr:uid="{00000000-0005-0000-0000-00000C000000}"/>
    <cellStyle name="標準 3 3" xfId="14" xr:uid="{00000000-0005-0000-0000-00000D000000}"/>
    <cellStyle name="標準 3 4" xfId="11" xr:uid="{00000000-0005-0000-0000-00000E000000}"/>
    <cellStyle name="標準 3 5" xfId="20" xr:uid="{D6DFB396-5827-41F7-B603-1F3C040265E8}"/>
    <cellStyle name="標準 4" xfId="10" xr:uid="{00000000-0005-0000-0000-00000F000000}"/>
    <cellStyle name="標準 4 2" xfId="17" xr:uid="{755F82EE-56EF-491B-95D9-9319E724E2E1}"/>
    <cellStyle name="標準 5" xfId="18" xr:uid="{3EDD6056-20F3-49F4-A2CA-A9C7BA0F4462}"/>
    <cellStyle name="標準 5 2" xfId="23" xr:uid="{B4A99040-D55B-4C6D-8E80-14092BA6DAD2}"/>
    <cellStyle name="標準 6" xfId="16" xr:uid="{A84E45DE-92FB-4268-BAD9-734BE0689799}"/>
    <cellStyle name="標準 7" xfId="22" xr:uid="{32F0A199-3B69-43E7-935F-95113C90F845}"/>
    <cellStyle name="標準 7 2" xfId="27" xr:uid="{609287FE-6680-4CB8-B364-9C5B8CF9256C}"/>
    <cellStyle name="標準 7 3" xfId="28" xr:uid="{EB59C5AB-189E-4A2B-AC84-B407F5D50F89}"/>
    <cellStyle name="標準 7 4" xfId="29" xr:uid="{0B66F2EB-24C6-4F44-9F40-6DF3619947FE}"/>
    <cellStyle name="標準 7 4 2" xfId="34" xr:uid="{35C80319-73E6-46F3-97A3-21FCB77EC2CC}"/>
    <cellStyle name="標準 7 5" xfId="30" xr:uid="{11413CCD-DA8C-445E-AF68-6C3388559184}"/>
    <cellStyle name="標準 7 5 2" xfId="33" xr:uid="{CC381CB7-C36A-455F-9F2A-E78458077DC6}"/>
    <cellStyle name="標準 7 6" xfId="31" xr:uid="{72D43F35-AEAB-4441-9184-B094C720DE4D}"/>
    <cellStyle name="標準 7 6 2" xfId="32" xr:uid="{CEB281A6-8A9B-4C1A-98DF-D3E983C4FB7C}"/>
    <cellStyle name="標準_エクステンション機能設計書_画面" xfId="26" xr:uid="{A3871AF8-D534-4B4D-9829-0BDD12D9EE37}"/>
  </cellStyles>
  <dxfs count="0"/>
  <tableStyles count="0" defaultTableStyle="TableStyleMedium2" defaultPivotStyle="PivotStyleLight16"/>
  <colors>
    <mruColors>
      <color rgb="FFFFFFFF"/>
      <color rgb="FFFFFFCC"/>
      <color rgb="FF3399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1</xdr:rowOff>
    </xdr:from>
    <xdr:to>
      <xdr:col>45</xdr:col>
      <xdr:colOff>46919</xdr:colOff>
      <xdr:row>27</xdr:row>
      <xdr:rowOff>104775</xdr:rowOff>
    </xdr:to>
    <xdr:grpSp>
      <xdr:nvGrpSpPr>
        <xdr:cNvPr id="2" name="Group 8">
          <a:extLst>
            <a:ext uri="{FF2B5EF4-FFF2-40B4-BE49-F238E27FC236}">
              <a16:creationId xmlns:a16="http://schemas.microsoft.com/office/drawing/2014/main" id="{5799C037-44E3-44C2-9397-5DA4DD97AAD5}"/>
            </a:ext>
          </a:extLst>
        </xdr:cNvPr>
        <xdr:cNvGrpSpPr>
          <a:grpSpLocks noChangeAspect="1"/>
        </xdr:cNvGrpSpPr>
      </xdr:nvGrpSpPr>
      <xdr:grpSpPr>
        <a:xfrm>
          <a:off x="205740" y="2278381"/>
          <a:ext cx="9373799" cy="2962274"/>
          <a:chOff x="685801" y="9772650"/>
          <a:chExt cx="9772648" cy="3362325"/>
        </a:xfrm>
      </xdr:grpSpPr>
      <xdr:sp macro="" textlink="">
        <xdr:nvSpPr>
          <xdr:cNvPr id="3" name="Rectangle 9">
            <a:extLst>
              <a:ext uri="{FF2B5EF4-FFF2-40B4-BE49-F238E27FC236}">
                <a16:creationId xmlns:a16="http://schemas.microsoft.com/office/drawing/2014/main" id="{6CFB8474-F93D-513E-5AA0-B2B645F24AF9}"/>
              </a:ext>
            </a:extLst>
          </xdr:cNvPr>
          <xdr:cNvSpPr/>
        </xdr:nvSpPr>
        <xdr:spPr>
          <a:xfrm>
            <a:off x="685801" y="10172701"/>
            <a:ext cx="1685924" cy="268605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a:solidFill>
                  <a:sysClr val="windowText" lastClr="000000"/>
                </a:solidFill>
                <a:latin typeface="Meiryo UI" panose="020B0604030504040204" pitchFamily="50" charset="-128"/>
                <a:ea typeface="Meiryo UI" panose="020B0604030504040204" pitchFamily="50" charset="-128"/>
              </a:rPr>
              <a:t>RISE</a:t>
            </a:r>
            <a:r>
              <a:rPr lang="ja-JP" altLang="en-US" sz="1200">
                <a:solidFill>
                  <a:sysClr val="windowText" lastClr="000000"/>
                </a:solidFill>
                <a:latin typeface="Meiryo UI" panose="020B0604030504040204" pitchFamily="50" charset="-128"/>
                <a:ea typeface="Meiryo UI" panose="020B0604030504040204" pitchFamily="50" charset="-128"/>
              </a:rPr>
              <a:t> </a:t>
            </a:r>
            <a:r>
              <a:rPr lang="en-US" altLang="ja-JP" sz="1200">
                <a:solidFill>
                  <a:sysClr val="windowText" lastClr="000000"/>
                </a:solidFill>
                <a:latin typeface="Meiryo UI" panose="020B0604030504040204" pitchFamily="50" charset="-128"/>
                <a:ea typeface="Meiryo UI" panose="020B0604030504040204" pitchFamily="50" charset="-128"/>
              </a:rPr>
              <a:t>S/4</a:t>
            </a:r>
            <a:r>
              <a:rPr lang="ja-JP" altLang="en-US" sz="1200">
                <a:solidFill>
                  <a:sysClr val="windowText" lastClr="000000"/>
                </a:solidFill>
                <a:latin typeface="Meiryo UI" panose="020B0604030504040204" pitchFamily="50" charset="-128"/>
                <a:ea typeface="Meiryo UI" panose="020B0604030504040204" pitchFamily="50" charset="-128"/>
              </a:rPr>
              <a:t> </a:t>
            </a:r>
            <a:r>
              <a:rPr lang="en-US" altLang="ja-JP" sz="1200">
                <a:solidFill>
                  <a:sysClr val="windowText" lastClr="000000"/>
                </a:solidFill>
                <a:latin typeface="Meiryo UI" panose="020B0604030504040204" pitchFamily="50" charset="-128"/>
                <a:ea typeface="Meiryo UI" panose="020B0604030504040204" pitchFamily="50" charset="-128"/>
              </a:rPr>
              <a:t>HANA</a:t>
            </a:r>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4" name="Rectangle 10">
            <a:extLst>
              <a:ext uri="{FF2B5EF4-FFF2-40B4-BE49-F238E27FC236}">
                <a16:creationId xmlns:a16="http://schemas.microsoft.com/office/drawing/2014/main" id="{17F1419B-5773-29FE-CACB-3C8D6604A4F5}"/>
              </a:ext>
            </a:extLst>
          </xdr:cNvPr>
          <xdr:cNvSpPr/>
        </xdr:nvSpPr>
        <xdr:spPr>
          <a:xfrm>
            <a:off x="4638674" y="9772650"/>
            <a:ext cx="3981451" cy="3362325"/>
          </a:xfrm>
          <a:prstGeom prst="rect">
            <a:avLst/>
          </a:prstGeom>
          <a:solidFill>
            <a:sysClr val="window" lastClr="FFFFFF"/>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200">
                <a:solidFill>
                  <a:sysClr val="windowText" lastClr="000000"/>
                </a:solidFill>
                <a:latin typeface="Meiryo UI" panose="020B0604030504040204" pitchFamily="50" charset="-128"/>
                <a:ea typeface="Meiryo UI" panose="020B0604030504040204" pitchFamily="50" charset="-128"/>
              </a:rPr>
              <a:t>本要件定義書の定義範囲</a:t>
            </a:r>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5" name="Rectangle 12">
            <a:extLst>
              <a:ext uri="{FF2B5EF4-FFF2-40B4-BE49-F238E27FC236}">
                <a16:creationId xmlns:a16="http://schemas.microsoft.com/office/drawing/2014/main" id="{5A2ECEBB-71DB-EFDE-30A0-4AE6D0088F26}"/>
              </a:ext>
            </a:extLst>
          </xdr:cNvPr>
          <xdr:cNvSpPr/>
        </xdr:nvSpPr>
        <xdr:spPr>
          <a:xfrm>
            <a:off x="2790825" y="10163176"/>
            <a:ext cx="1685924" cy="268605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a:solidFill>
                  <a:sysClr val="windowText" lastClr="000000"/>
                </a:solidFill>
                <a:latin typeface="Meiryo UI" panose="020B0604030504040204" pitchFamily="50" charset="-128"/>
                <a:ea typeface="Meiryo UI" panose="020B0604030504040204" pitchFamily="50" charset="-128"/>
              </a:rPr>
              <a:t>DSP</a:t>
            </a:r>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6" name="Rectangle 15">
            <a:extLst>
              <a:ext uri="{FF2B5EF4-FFF2-40B4-BE49-F238E27FC236}">
                <a16:creationId xmlns:a16="http://schemas.microsoft.com/office/drawing/2014/main" id="{235E9AC3-8E01-3DE9-5EFC-20AA2ABF49CD}"/>
              </a:ext>
            </a:extLst>
          </xdr:cNvPr>
          <xdr:cNvSpPr/>
        </xdr:nvSpPr>
        <xdr:spPr>
          <a:xfrm>
            <a:off x="2881313" y="10496550"/>
            <a:ext cx="1504949" cy="217170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a:solidFill>
                  <a:sysClr val="windowText" lastClr="000000"/>
                </a:solidFill>
                <a:latin typeface="Meiryo UI" panose="020B0604030504040204" pitchFamily="50" charset="-128"/>
                <a:ea typeface="Meiryo UI" panose="020B0604030504040204" pitchFamily="50" charset="-128"/>
              </a:rPr>
              <a:t>Open</a:t>
            </a:r>
            <a:r>
              <a:rPr lang="ja-JP" altLang="en-US" sz="1200">
                <a:solidFill>
                  <a:sysClr val="windowText" lastClr="000000"/>
                </a:solidFill>
                <a:latin typeface="Meiryo UI" panose="020B0604030504040204" pitchFamily="50" charset="-128"/>
                <a:ea typeface="Meiryo UI" panose="020B0604030504040204" pitchFamily="50" charset="-128"/>
              </a:rPr>
              <a:t> </a:t>
            </a:r>
            <a:r>
              <a:rPr lang="en-US" altLang="ja-JP" sz="1200">
                <a:solidFill>
                  <a:sysClr val="windowText" lastClr="000000"/>
                </a:solidFill>
                <a:latin typeface="Meiryo UI" panose="020B0604030504040204" pitchFamily="50" charset="-128"/>
                <a:ea typeface="Meiryo UI" panose="020B0604030504040204" pitchFamily="50" charset="-128"/>
              </a:rPr>
              <a:t>SQL</a:t>
            </a:r>
            <a:r>
              <a:rPr lang="ja-JP" altLang="en-US" sz="1200">
                <a:solidFill>
                  <a:sysClr val="windowText" lastClr="000000"/>
                </a:solidFill>
                <a:latin typeface="Meiryo UI" panose="020B0604030504040204" pitchFamily="50" charset="-128"/>
                <a:ea typeface="Meiryo UI" panose="020B0604030504040204" pitchFamily="50" charset="-128"/>
              </a:rPr>
              <a:t>スキーマ</a:t>
            </a:r>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7" name="Flowchart: Magnetic Disk 16">
            <a:extLst>
              <a:ext uri="{FF2B5EF4-FFF2-40B4-BE49-F238E27FC236}">
                <a16:creationId xmlns:a16="http://schemas.microsoft.com/office/drawing/2014/main" id="{15D54F6A-2852-2386-9742-304C028B4AB4}"/>
              </a:ext>
            </a:extLst>
          </xdr:cNvPr>
          <xdr:cNvSpPr/>
        </xdr:nvSpPr>
        <xdr:spPr>
          <a:xfrm>
            <a:off x="2938462" y="11868150"/>
            <a:ext cx="1390650" cy="561975"/>
          </a:xfrm>
          <a:prstGeom prst="flowChartMagneticDisk">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ja-JP"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IF</a:t>
            </a:r>
            <a:r>
              <a:rPr kumimoji="0" lang="ja-JP" altLang="en-US"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ビュー</a:t>
            </a:r>
            <a:endParaRPr kumimoji="0" lang="en-US"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8" name="Flowchart: Magnetic Disk 17">
            <a:extLst>
              <a:ext uri="{FF2B5EF4-FFF2-40B4-BE49-F238E27FC236}">
                <a16:creationId xmlns:a16="http://schemas.microsoft.com/office/drawing/2014/main" id="{D50040CD-15B2-F188-ED63-FD62F4AA7595}"/>
              </a:ext>
            </a:extLst>
          </xdr:cNvPr>
          <xdr:cNvSpPr/>
        </xdr:nvSpPr>
        <xdr:spPr>
          <a:xfrm>
            <a:off x="2938462" y="11382375"/>
            <a:ext cx="1390650" cy="561975"/>
          </a:xfrm>
          <a:prstGeom prst="flowChartMagneticDisk">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ja-JP"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IF</a:t>
            </a:r>
            <a:r>
              <a:rPr kumimoji="0" lang="ja-JP" altLang="en-US"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ビュー</a:t>
            </a:r>
            <a:endParaRPr kumimoji="0" lang="en-US"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9" name="Flowchart: Magnetic Disk 18">
            <a:extLst>
              <a:ext uri="{FF2B5EF4-FFF2-40B4-BE49-F238E27FC236}">
                <a16:creationId xmlns:a16="http://schemas.microsoft.com/office/drawing/2014/main" id="{89D17ED6-2DD4-ECE0-7321-69AFDCB4F1DA}"/>
              </a:ext>
            </a:extLst>
          </xdr:cNvPr>
          <xdr:cNvSpPr/>
        </xdr:nvSpPr>
        <xdr:spPr>
          <a:xfrm>
            <a:off x="2938462" y="10896600"/>
            <a:ext cx="1390650" cy="561975"/>
          </a:xfrm>
          <a:prstGeom prst="flowChartMagneticDisk">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ja-JP" sz="1200">
                <a:solidFill>
                  <a:sysClr val="windowText" lastClr="000000"/>
                </a:solidFill>
                <a:latin typeface="Meiryo UI" panose="020B0604030504040204" pitchFamily="50" charset="-128"/>
                <a:ea typeface="Meiryo UI" panose="020B0604030504040204" pitchFamily="50" charset="-128"/>
              </a:rPr>
              <a:t>IF</a:t>
            </a:r>
            <a:r>
              <a:rPr lang="ja-JP" altLang="en-US" sz="1200">
                <a:solidFill>
                  <a:sysClr val="windowText" lastClr="000000"/>
                </a:solidFill>
                <a:latin typeface="Meiryo UI" panose="020B0604030504040204" pitchFamily="50" charset="-128"/>
                <a:ea typeface="Meiryo UI" panose="020B0604030504040204" pitchFamily="50" charset="-128"/>
              </a:rPr>
              <a:t>ビュー</a:t>
            </a:r>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0" name="Rectangle: Rounded Corners 19">
            <a:extLst>
              <a:ext uri="{FF2B5EF4-FFF2-40B4-BE49-F238E27FC236}">
                <a16:creationId xmlns:a16="http://schemas.microsoft.com/office/drawing/2014/main" id="{67FBB2B7-005F-B75C-90A9-FE1801C91DF5}"/>
              </a:ext>
            </a:extLst>
          </xdr:cNvPr>
          <xdr:cNvSpPr/>
        </xdr:nvSpPr>
        <xdr:spPr>
          <a:xfrm>
            <a:off x="4848224" y="11087101"/>
            <a:ext cx="1533525" cy="781049"/>
          </a:xfrm>
          <a:prstGeom prst="roundRect">
            <a:avLst/>
          </a:prstGeom>
          <a:solidFill>
            <a:sysClr val="window" lastClr="FFFFFF"/>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ysClr val="windowText" lastClr="000000"/>
                </a:solidFill>
                <a:latin typeface="Meiryo UI" panose="020B0604030504040204" pitchFamily="50" charset="-128"/>
                <a:ea typeface="Meiryo UI" panose="020B0604030504040204" pitchFamily="50" charset="-128"/>
              </a:rPr>
              <a:t>Cloud Integration</a:t>
            </a:r>
          </a:p>
        </xdr:txBody>
      </xdr:sp>
      <xdr:sp macro="" textlink="">
        <xdr:nvSpPr>
          <xdr:cNvPr id="11" name="Rectangle 20">
            <a:extLst>
              <a:ext uri="{FF2B5EF4-FFF2-40B4-BE49-F238E27FC236}">
                <a16:creationId xmlns:a16="http://schemas.microsoft.com/office/drawing/2014/main" id="{345D2F1A-4663-7A68-032A-AD38F02FB0FF}"/>
              </a:ext>
            </a:extLst>
          </xdr:cNvPr>
          <xdr:cNvSpPr/>
        </xdr:nvSpPr>
        <xdr:spPr>
          <a:xfrm>
            <a:off x="6762750" y="10376224"/>
            <a:ext cx="1685924" cy="1777677"/>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200">
                <a:solidFill>
                  <a:sysClr val="windowText" lastClr="000000"/>
                </a:solidFill>
                <a:latin typeface="Meiryo UI" panose="020B0604030504040204" pitchFamily="50" charset="-128"/>
                <a:ea typeface="Meiryo UI" panose="020B0604030504040204" pitchFamily="50" charset="-128"/>
              </a:rPr>
              <a:t>共有フォルダ</a:t>
            </a:r>
            <a:endParaRPr lang="en-US" altLang="ja-JP" sz="1200">
              <a:solidFill>
                <a:sysClr val="windowText" lastClr="000000"/>
              </a:solidFill>
              <a:latin typeface="Meiryo UI" panose="020B0604030504040204" pitchFamily="50" charset="-128"/>
              <a:ea typeface="Meiryo UI" panose="020B0604030504040204" pitchFamily="50" charset="-128"/>
            </a:endParaRPr>
          </a:p>
          <a:p>
            <a:pPr algn="l"/>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2" name="Rectangle 21">
            <a:extLst>
              <a:ext uri="{FF2B5EF4-FFF2-40B4-BE49-F238E27FC236}">
                <a16:creationId xmlns:a16="http://schemas.microsoft.com/office/drawing/2014/main" id="{9F7A14EA-EFB1-64B9-D972-2048757C5E1A}"/>
              </a:ext>
            </a:extLst>
          </xdr:cNvPr>
          <xdr:cNvSpPr/>
        </xdr:nvSpPr>
        <xdr:spPr>
          <a:xfrm>
            <a:off x="8772525" y="10163176"/>
            <a:ext cx="1685924" cy="268605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a:solidFill>
                  <a:sysClr val="windowText" lastClr="000000"/>
                </a:solidFill>
                <a:latin typeface="Meiryo UI" panose="020B0604030504040204" pitchFamily="50" charset="-128"/>
                <a:ea typeface="Meiryo UI" panose="020B0604030504040204" pitchFamily="50" charset="-128"/>
              </a:rPr>
              <a:t>Smart</a:t>
            </a:r>
            <a:r>
              <a:rPr lang="ja-JP" altLang="en-US" sz="1200">
                <a:solidFill>
                  <a:sysClr val="windowText" lastClr="000000"/>
                </a:solidFill>
                <a:latin typeface="Meiryo UI" panose="020B0604030504040204" pitchFamily="50" charset="-128"/>
                <a:ea typeface="Meiryo UI" panose="020B0604030504040204" pitchFamily="50" charset="-128"/>
              </a:rPr>
              <a:t> </a:t>
            </a:r>
            <a:r>
              <a:rPr lang="en-US" altLang="ja-JP" sz="1200">
                <a:solidFill>
                  <a:sysClr val="windowText" lastClr="000000"/>
                </a:solidFill>
                <a:latin typeface="Meiryo UI" panose="020B0604030504040204" pitchFamily="50" charset="-128"/>
                <a:ea typeface="Meiryo UI" panose="020B0604030504040204" pitchFamily="50" charset="-128"/>
              </a:rPr>
              <a:t>Cat</a:t>
            </a:r>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3" name="Arrow: Right 22">
            <a:extLst>
              <a:ext uri="{FF2B5EF4-FFF2-40B4-BE49-F238E27FC236}">
                <a16:creationId xmlns:a16="http://schemas.microsoft.com/office/drawing/2014/main" id="{5F849860-B92C-3F7C-521B-B301A509B8C2}"/>
              </a:ext>
            </a:extLst>
          </xdr:cNvPr>
          <xdr:cNvSpPr/>
        </xdr:nvSpPr>
        <xdr:spPr>
          <a:xfrm>
            <a:off x="2266949" y="11287125"/>
            <a:ext cx="619125" cy="390525"/>
          </a:xfrm>
          <a:prstGeom prst="rightArrow">
            <a:avLst/>
          </a:prstGeom>
          <a:solidFill>
            <a:schemeClr val="accent1">
              <a:lumMod val="20000"/>
              <a:lumOff val="8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Meiryo UI" panose="020B0604030504040204" pitchFamily="50" charset="-128"/>
              <a:ea typeface="Meiryo UI" panose="020B0604030504040204" pitchFamily="50" charset="-128"/>
            </a:endParaRPr>
          </a:p>
        </xdr:txBody>
      </xdr:sp>
      <xdr:sp macro="" textlink="">
        <xdr:nvSpPr>
          <xdr:cNvPr id="14" name="Arrow: Right 23">
            <a:extLst>
              <a:ext uri="{FF2B5EF4-FFF2-40B4-BE49-F238E27FC236}">
                <a16:creationId xmlns:a16="http://schemas.microsoft.com/office/drawing/2014/main" id="{E6DF05DA-A815-B6EB-B77F-5E2976A711F2}"/>
              </a:ext>
            </a:extLst>
          </xdr:cNvPr>
          <xdr:cNvSpPr/>
        </xdr:nvSpPr>
        <xdr:spPr>
          <a:xfrm>
            <a:off x="6267449" y="11287125"/>
            <a:ext cx="619125" cy="390525"/>
          </a:xfrm>
          <a:prstGeom prst="rightArrow">
            <a:avLst/>
          </a:prstGeom>
          <a:solidFill>
            <a:schemeClr val="accent1">
              <a:lumMod val="20000"/>
              <a:lumOff val="8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Meiryo UI" panose="020B0604030504040204" pitchFamily="50" charset="-128"/>
              <a:ea typeface="Meiryo UI" panose="020B0604030504040204" pitchFamily="50" charset="-128"/>
            </a:endParaRPr>
          </a:p>
        </xdr:txBody>
      </xdr:sp>
      <xdr:sp macro="" textlink="">
        <xdr:nvSpPr>
          <xdr:cNvPr id="15" name="Arrow: Curved Right 24">
            <a:extLst>
              <a:ext uri="{FF2B5EF4-FFF2-40B4-BE49-F238E27FC236}">
                <a16:creationId xmlns:a16="http://schemas.microsoft.com/office/drawing/2014/main" id="{58FEB38C-651D-B48D-7A20-888EAEE1FFC2}"/>
              </a:ext>
            </a:extLst>
          </xdr:cNvPr>
          <xdr:cNvSpPr/>
        </xdr:nvSpPr>
        <xdr:spPr>
          <a:xfrm>
            <a:off x="4152899" y="11163299"/>
            <a:ext cx="857250" cy="638175"/>
          </a:xfrm>
          <a:prstGeom prst="curvedRightArrow">
            <a:avLst>
              <a:gd name="adj1" fmla="val 31023"/>
              <a:gd name="adj2" fmla="val 50000"/>
              <a:gd name="adj3" fmla="val 42910"/>
            </a:avLst>
          </a:prstGeom>
          <a:solidFill>
            <a:schemeClr val="accent1">
              <a:lumMod val="20000"/>
              <a:lumOff val="8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latin typeface="Meiryo UI" panose="020B0604030504040204" pitchFamily="50" charset="-128"/>
              <a:ea typeface="Meiryo UI" panose="020B0604030504040204" pitchFamily="50" charset="-128"/>
            </a:endParaRPr>
          </a:p>
        </xdr:txBody>
      </xdr:sp>
      <xdr:sp macro="" textlink="">
        <xdr:nvSpPr>
          <xdr:cNvPr id="16" name="Rectangle: Folded Corner 25">
            <a:extLst>
              <a:ext uri="{FF2B5EF4-FFF2-40B4-BE49-F238E27FC236}">
                <a16:creationId xmlns:a16="http://schemas.microsoft.com/office/drawing/2014/main" id="{712CB96C-50E8-F894-5987-0AA74B40336B}"/>
              </a:ext>
            </a:extLst>
          </xdr:cNvPr>
          <xdr:cNvSpPr/>
        </xdr:nvSpPr>
        <xdr:spPr>
          <a:xfrm>
            <a:off x="7029450" y="11096625"/>
            <a:ext cx="1181100" cy="723900"/>
          </a:xfrm>
          <a:prstGeom prst="foldedCorner">
            <a:avLst/>
          </a:prstGeom>
          <a:solidFill>
            <a:sysClr val="window" lastClr="FFFFFF"/>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000">
                <a:solidFill>
                  <a:sysClr val="windowText" lastClr="000000"/>
                </a:solidFill>
                <a:latin typeface="Meiryo UI" panose="020B0604030504040204" pitchFamily="50" charset="-128"/>
                <a:ea typeface="Meiryo UI" panose="020B0604030504040204" pitchFamily="50" charset="-128"/>
              </a:rPr>
              <a:t>出荷リスト</a:t>
            </a:r>
            <a:br>
              <a:rPr lang="en-US" altLang="ja-JP" sz="1000">
                <a:solidFill>
                  <a:sysClr val="windowText" lastClr="000000"/>
                </a:solidFill>
                <a:latin typeface="Meiryo UI" panose="020B0604030504040204" pitchFamily="50" charset="-128"/>
                <a:ea typeface="Meiryo UI" panose="020B0604030504040204" pitchFamily="50" charset="-128"/>
              </a:rPr>
            </a:br>
            <a:r>
              <a:rPr lang="ja-JP" altLang="en-US" sz="1000">
                <a:solidFill>
                  <a:sysClr val="windowText" lastClr="000000"/>
                </a:solidFill>
                <a:latin typeface="Meiryo UI" panose="020B0604030504040204" pitchFamily="50" charset="-128"/>
                <a:ea typeface="Meiryo UI" panose="020B0604030504040204" pitchFamily="50" charset="-128"/>
              </a:rPr>
              <a:t>ファイル</a:t>
            </a:r>
            <a:endParaRPr lang="en-US" sz="10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7" name="Flowchart: Multidocument 26">
            <a:extLst>
              <a:ext uri="{FF2B5EF4-FFF2-40B4-BE49-F238E27FC236}">
                <a16:creationId xmlns:a16="http://schemas.microsoft.com/office/drawing/2014/main" id="{45927537-7C25-7433-1B42-979EAD0F00B8}"/>
              </a:ext>
            </a:extLst>
          </xdr:cNvPr>
          <xdr:cNvSpPr/>
        </xdr:nvSpPr>
        <xdr:spPr>
          <a:xfrm>
            <a:off x="8982075" y="10934700"/>
            <a:ext cx="1371600" cy="1066800"/>
          </a:xfrm>
          <a:prstGeom prst="flowChartMultidocument">
            <a:avLst/>
          </a:prstGeom>
          <a:solidFill>
            <a:schemeClr val="accent2">
              <a:lumMod val="20000"/>
              <a:lumOff val="80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a:solidFill>
                  <a:sysClr val="windowText" lastClr="000000"/>
                </a:solidFill>
              </a:rPr>
              <a:t>送り状</a:t>
            </a:r>
            <a:endParaRPr lang="en-US" sz="1200">
              <a:solidFill>
                <a:sysClr val="windowText" lastClr="000000"/>
              </a:solidFill>
            </a:endParaRPr>
          </a:p>
        </xdr:txBody>
      </xdr:sp>
      <xdr:sp macro="" textlink="">
        <xdr:nvSpPr>
          <xdr:cNvPr id="18" name="Arrow: Right 27">
            <a:extLst>
              <a:ext uri="{FF2B5EF4-FFF2-40B4-BE49-F238E27FC236}">
                <a16:creationId xmlns:a16="http://schemas.microsoft.com/office/drawing/2014/main" id="{A21988E0-C737-FFDF-5FD0-CFDBC1586A37}"/>
              </a:ext>
            </a:extLst>
          </xdr:cNvPr>
          <xdr:cNvSpPr/>
        </xdr:nvSpPr>
        <xdr:spPr>
          <a:xfrm>
            <a:off x="8391524" y="11287125"/>
            <a:ext cx="619125" cy="390525"/>
          </a:xfrm>
          <a:prstGeom prst="rightArrow">
            <a:avLst/>
          </a:prstGeom>
          <a:solidFill>
            <a:schemeClr val="accent1">
              <a:lumMod val="20000"/>
              <a:lumOff val="8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latin typeface="Meiryo UI" panose="020B0604030504040204" pitchFamily="50" charset="-128"/>
              <a:ea typeface="Meiryo UI" panose="020B0604030504040204" pitchFamily="50" charset="-128"/>
            </a:endParaRPr>
          </a:p>
        </xdr:txBody>
      </xdr:sp>
      <xdr:sp macro="" textlink="">
        <xdr:nvSpPr>
          <xdr:cNvPr id="19" name="Flowchart: Magnetic Disk 28">
            <a:extLst>
              <a:ext uri="{FF2B5EF4-FFF2-40B4-BE49-F238E27FC236}">
                <a16:creationId xmlns:a16="http://schemas.microsoft.com/office/drawing/2014/main" id="{B58DF83F-13D0-82B3-5360-EC3AC827AE33}"/>
              </a:ext>
            </a:extLst>
          </xdr:cNvPr>
          <xdr:cNvSpPr/>
        </xdr:nvSpPr>
        <xdr:spPr>
          <a:xfrm>
            <a:off x="838200" y="12182475"/>
            <a:ext cx="1390650" cy="561975"/>
          </a:xfrm>
          <a:prstGeom prst="flowChartMagneticDisk">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1200">
                <a:solidFill>
                  <a:sysClr val="windowText" lastClr="000000"/>
                </a:solidFill>
                <a:latin typeface="Meiryo UI" panose="020B0604030504040204" pitchFamily="50" charset="-128"/>
                <a:ea typeface="Meiryo UI" panose="020B0604030504040204" pitchFamily="50" charset="-128"/>
              </a:rPr>
              <a:t>得意先品目</a:t>
            </a:r>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0" name="Flowchart: Magnetic Disk 29">
            <a:extLst>
              <a:ext uri="{FF2B5EF4-FFF2-40B4-BE49-F238E27FC236}">
                <a16:creationId xmlns:a16="http://schemas.microsoft.com/office/drawing/2014/main" id="{112C4C27-CBDE-9DAB-415F-7D5576E45AD2}"/>
              </a:ext>
            </a:extLst>
          </xdr:cNvPr>
          <xdr:cNvSpPr/>
        </xdr:nvSpPr>
        <xdr:spPr>
          <a:xfrm>
            <a:off x="838200" y="11820525"/>
            <a:ext cx="1390650" cy="561975"/>
          </a:xfrm>
          <a:prstGeom prst="flowChartMagneticDisk">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1200">
                <a:solidFill>
                  <a:sysClr val="windowText" lastClr="000000"/>
                </a:solidFill>
                <a:latin typeface="Meiryo UI" panose="020B0604030504040204" pitchFamily="50" charset="-128"/>
                <a:ea typeface="Meiryo UI" panose="020B0604030504040204" pitchFamily="50" charset="-128"/>
              </a:rPr>
              <a:t>品目</a:t>
            </a:r>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1" name="Flowchart: Magnetic Disk 30">
            <a:extLst>
              <a:ext uri="{FF2B5EF4-FFF2-40B4-BE49-F238E27FC236}">
                <a16:creationId xmlns:a16="http://schemas.microsoft.com/office/drawing/2014/main" id="{D15D24BD-F15F-DAD6-F719-FD889B2056C8}"/>
              </a:ext>
            </a:extLst>
          </xdr:cNvPr>
          <xdr:cNvSpPr/>
        </xdr:nvSpPr>
        <xdr:spPr>
          <a:xfrm>
            <a:off x="838200" y="11449050"/>
            <a:ext cx="1390650" cy="561975"/>
          </a:xfrm>
          <a:prstGeom prst="flowChartMagneticDisk">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1200">
                <a:solidFill>
                  <a:sysClr val="windowText" lastClr="000000"/>
                </a:solidFill>
                <a:latin typeface="Meiryo UI" panose="020B0604030504040204" pitchFamily="50" charset="-128"/>
                <a:ea typeface="Meiryo UI" panose="020B0604030504040204" pitchFamily="50" charset="-128"/>
              </a:rPr>
              <a:t>在庫転送</a:t>
            </a:r>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2" name="Flowchart: Magnetic Disk 31">
            <a:extLst>
              <a:ext uri="{FF2B5EF4-FFF2-40B4-BE49-F238E27FC236}">
                <a16:creationId xmlns:a16="http://schemas.microsoft.com/office/drawing/2014/main" id="{09CEFDF0-615B-BC18-8CA8-0B0297C7351A}"/>
              </a:ext>
            </a:extLst>
          </xdr:cNvPr>
          <xdr:cNvSpPr/>
        </xdr:nvSpPr>
        <xdr:spPr>
          <a:xfrm>
            <a:off x="838200" y="11087100"/>
            <a:ext cx="1390650" cy="561975"/>
          </a:xfrm>
          <a:prstGeom prst="flowChartMagneticDisk">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1200">
                <a:solidFill>
                  <a:sysClr val="windowText" lastClr="000000"/>
                </a:solidFill>
                <a:latin typeface="Meiryo UI" panose="020B0604030504040204" pitchFamily="50" charset="-128"/>
                <a:ea typeface="Meiryo UI" panose="020B0604030504040204" pitchFamily="50" charset="-128"/>
              </a:rPr>
              <a:t>受注伝票</a:t>
            </a:r>
            <a:endParaRPr 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3" name="Flowchart: Magnetic Disk 32">
            <a:extLst>
              <a:ext uri="{FF2B5EF4-FFF2-40B4-BE49-F238E27FC236}">
                <a16:creationId xmlns:a16="http://schemas.microsoft.com/office/drawing/2014/main" id="{07E2097A-358D-4DEC-26D9-0D7BD3890D81}"/>
              </a:ext>
            </a:extLst>
          </xdr:cNvPr>
          <xdr:cNvSpPr/>
        </xdr:nvSpPr>
        <xdr:spPr>
          <a:xfrm>
            <a:off x="838200" y="10715625"/>
            <a:ext cx="1390650" cy="561975"/>
          </a:xfrm>
          <a:prstGeom prst="flowChartMagneticDisk">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1200">
                <a:solidFill>
                  <a:sysClr val="windowText" lastClr="000000"/>
                </a:solidFill>
                <a:latin typeface="Meiryo UI" panose="020B0604030504040204" pitchFamily="50" charset="-128"/>
                <a:ea typeface="Meiryo UI" panose="020B0604030504040204" pitchFamily="50" charset="-128"/>
              </a:rPr>
              <a:t>出荷伝票</a:t>
            </a:r>
            <a:endParaRPr lang="en-US" sz="120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182817</xdr:colOff>
      <xdr:row>16</xdr:row>
      <xdr:rowOff>369632</xdr:rowOff>
    </xdr:from>
    <xdr:to>
      <xdr:col>31</xdr:col>
      <xdr:colOff>687028</xdr:colOff>
      <xdr:row>17</xdr:row>
      <xdr:rowOff>0</xdr:rowOff>
    </xdr:to>
    <xdr:sp macro="" textlink="">
      <xdr:nvSpPr>
        <xdr:cNvPr id="2" name="Rectangle 2">
          <a:extLst>
            <a:ext uri="{FF2B5EF4-FFF2-40B4-BE49-F238E27FC236}">
              <a16:creationId xmlns:a16="http://schemas.microsoft.com/office/drawing/2014/main" id="{27FFC16D-8690-44EF-986C-B2FDBC3FFE2D}"/>
            </a:ext>
          </a:extLst>
        </xdr:cNvPr>
        <xdr:cNvSpPr/>
      </xdr:nvSpPr>
      <xdr:spPr>
        <a:xfrm>
          <a:off x="29740797" y="4568252"/>
          <a:ext cx="4314211" cy="374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t>・テキストファイルで吐き出す順番はこの通りで問題ないか？</a:t>
          </a:r>
          <a:endParaRPr lang="en-US" altLang="ja-JP" sz="1100"/>
        </a:p>
        <a:p>
          <a:pPr algn="l"/>
          <a:r>
            <a:rPr lang="ja-JP" altLang="en-US" sz="1100"/>
            <a:t>・ソート順も確認いただく</a:t>
          </a:r>
          <a:endParaRPr lang="en-US" altLang="ja-JP" sz="1100"/>
        </a:p>
        <a:p>
          <a:pPr algn="l"/>
          <a:r>
            <a:rPr lang="ja-JP" altLang="en-US" sz="1100"/>
            <a:t>・販売管理システム上で持っている情報をくっつけて出している項目がある→整理いただく</a:t>
          </a:r>
          <a:endParaRPr lang="en-US" altLang="ja-JP" sz="1100"/>
        </a:p>
        <a:p>
          <a:pPr algn="l"/>
          <a:endParaRPr lang="en-US" altLang="ja-JP" sz="1100"/>
        </a:p>
        <a:p>
          <a:pPr algn="l"/>
          <a:r>
            <a:rPr lang="ja-JP" altLang="en-US" sz="1100"/>
            <a:t>・元払い・着払いの情報持っていないが、必要か？必要</a:t>
          </a:r>
          <a:endParaRPr lang="en-US" altLang="ja-JP" sz="1100"/>
        </a:p>
        <a:p>
          <a:pPr algn="l"/>
          <a:r>
            <a:rPr lang="ja-JP" altLang="en-US" sz="1100"/>
            <a:t>・出荷ブロックは不要か？必要</a:t>
          </a:r>
          <a:endParaRPr lang="en-US" altLang="ja-JP" sz="1100"/>
        </a:p>
        <a:p>
          <a:pPr algn="l"/>
          <a:r>
            <a:rPr lang="ja-JP" altLang="en-US" sz="1100"/>
            <a:t>・取引先機能に中国の得意先が含まれているかのフラグは必要か？出荷リストには不要</a:t>
          </a:r>
          <a:endParaRPr lang="en-US" altLang="ja-JP" sz="1100"/>
        </a:p>
        <a:p>
          <a:pPr algn="l"/>
          <a:r>
            <a:rPr lang="ja-JP" altLang="en-US" sz="1100"/>
            <a:t>出荷カードにはフラグが立っている場合、定型テキストを出す</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196146</xdr:colOff>
      <xdr:row>17</xdr:row>
      <xdr:rowOff>93136</xdr:rowOff>
    </xdr:from>
    <xdr:to>
      <xdr:col>13</xdr:col>
      <xdr:colOff>146758</xdr:colOff>
      <xdr:row>21</xdr:row>
      <xdr:rowOff>0</xdr:rowOff>
    </xdr:to>
    <xdr:sp macro="" textlink="">
      <xdr:nvSpPr>
        <xdr:cNvPr id="2" name="四角形: 角を丸くする 1">
          <a:extLst>
            <a:ext uri="{FF2B5EF4-FFF2-40B4-BE49-F238E27FC236}">
              <a16:creationId xmlns:a16="http://schemas.microsoft.com/office/drawing/2014/main" id="{487D157C-A2B6-4825-9A68-04934B16C958}"/>
            </a:ext>
          </a:extLst>
        </xdr:cNvPr>
        <xdr:cNvSpPr/>
      </xdr:nvSpPr>
      <xdr:spPr>
        <a:xfrm>
          <a:off x="2017326" y="3331636"/>
          <a:ext cx="1055512" cy="668864"/>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1.JP1</a:t>
          </a:r>
          <a:r>
            <a:rPr lang="ja-JP" altLang="en-US" sz="1100"/>
            <a:t>起動</a:t>
          </a:r>
          <a:endParaRPr lang="en-US" sz="1100"/>
        </a:p>
      </xdr:txBody>
    </xdr:sp>
    <xdr:clientData/>
  </xdr:twoCellAnchor>
  <xdr:twoCellAnchor>
    <xdr:from>
      <xdr:col>9</xdr:col>
      <xdr:colOff>56091</xdr:colOff>
      <xdr:row>12</xdr:row>
      <xdr:rowOff>5290</xdr:rowOff>
    </xdr:from>
    <xdr:to>
      <xdr:col>13</xdr:col>
      <xdr:colOff>76200</xdr:colOff>
      <xdr:row>15</xdr:row>
      <xdr:rowOff>123825</xdr:rowOff>
    </xdr:to>
    <xdr:sp macro="" textlink="">
      <xdr:nvSpPr>
        <xdr:cNvPr id="3" name="正方形/長方形 2">
          <a:extLst>
            <a:ext uri="{FF2B5EF4-FFF2-40B4-BE49-F238E27FC236}">
              <a16:creationId xmlns:a16="http://schemas.microsoft.com/office/drawing/2014/main" id="{DC208091-82CE-419C-8297-E9EFFBEC43B5}"/>
            </a:ext>
          </a:extLst>
        </xdr:cNvPr>
        <xdr:cNvSpPr/>
      </xdr:nvSpPr>
      <xdr:spPr>
        <a:xfrm>
          <a:off x="2098251" y="2291290"/>
          <a:ext cx="904029" cy="690035"/>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JP1</a:t>
          </a:r>
        </a:p>
      </xdr:txBody>
    </xdr:sp>
    <xdr:clientData/>
  </xdr:twoCellAnchor>
  <xdr:twoCellAnchor>
    <xdr:from>
      <xdr:col>11</xdr:col>
      <xdr:colOff>61915</xdr:colOff>
      <xdr:row>15</xdr:row>
      <xdr:rowOff>123825</xdr:rowOff>
    </xdr:from>
    <xdr:to>
      <xdr:col>11</xdr:col>
      <xdr:colOff>66146</xdr:colOff>
      <xdr:row>17</xdr:row>
      <xdr:rowOff>93136</xdr:rowOff>
    </xdr:to>
    <xdr:cxnSp macro="">
      <xdr:nvCxnSpPr>
        <xdr:cNvPr id="4" name="直線矢印コネクタ 3">
          <a:extLst>
            <a:ext uri="{FF2B5EF4-FFF2-40B4-BE49-F238E27FC236}">
              <a16:creationId xmlns:a16="http://schemas.microsoft.com/office/drawing/2014/main" id="{41778B38-2C0D-43E5-86D6-C558336D2F6F}"/>
            </a:ext>
          </a:extLst>
        </xdr:cNvPr>
        <xdr:cNvCxnSpPr>
          <a:stCxn id="3" idx="2"/>
          <a:endCxn id="2" idx="0"/>
        </xdr:cNvCxnSpPr>
      </xdr:nvCxnSpPr>
      <xdr:spPr>
        <a:xfrm flipH="1">
          <a:off x="2546035" y="2981325"/>
          <a:ext cx="4231" cy="35031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165099</xdr:colOff>
      <xdr:row>17</xdr:row>
      <xdr:rowOff>70204</xdr:rowOff>
    </xdr:from>
    <xdr:to>
      <xdr:col>21</xdr:col>
      <xdr:colOff>115711</xdr:colOff>
      <xdr:row>21</xdr:row>
      <xdr:rowOff>28575</xdr:rowOff>
    </xdr:to>
    <xdr:sp macro="" textlink="">
      <xdr:nvSpPr>
        <xdr:cNvPr id="5" name="四角形: 角を丸くする 4">
          <a:extLst>
            <a:ext uri="{FF2B5EF4-FFF2-40B4-BE49-F238E27FC236}">
              <a16:creationId xmlns:a16="http://schemas.microsoft.com/office/drawing/2014/main" id="{1B29432C-023B-47FA-97F5-65786F158AE0}"/>
            </a:ext>
          </a:extLst>
        </xdr:cNvPr>
        <xdr:cNvSpPr/>
      </xdr:nvSpPr>
      <xdr:spPr>
        <a:xfrm>
          <a:off x="3754119" y="3308704"/>
          <a:ext cx="1108852" cy="720371"/>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2</a:t>
          </a:r>
          <a:r>
            <a:rPr lang="en-US" sz="1000"/>
            <a:t>.</a:t>
          </a:r>
          <a:r>
            <a:rPr lang="ja-JP" altLang="en-US" sz="1000"/>
            <a:t>外部</a:t>
          </a:r>
          <a:r>
            <a:rPr lang="ja-JP" altLang="en-US" sz="1100"/>
            <a:t>パラメータ取得</a:t>
          </a:r>
          <a:endParaRPr lang="en-US" sz="1100"/>
        </a:p>
      </xdr:txBody>
    </xdr:sp>
    <xdr:clientData/>
  </xdr:twoCellAnchor>
  <xdr:twoCellAnchor>
    <xdr:from>
      <xdr:col>41</xdr:col>
      <xdr:colOff>84666</xdr:colOff>
      <xdr:row>4</xdr:row>
      <xdr:rowOff>63500</xdr:rowOff>
    </xdr:from>
    <xdr:to>
      <xdr:col>45</xdr:col>
      <xdr:colOff>7054</xdr:colOff>
      <xdr:row>7</xdr:row>
      <xdr:rowOff>35278</xdr:rowOff>
    </xdr:to>
    <xdr:sp macro="" textlink="">
      <xdr:nvSpPr>
        <xdr:cNvPr id="6" name="正方形/長方形 5">
          <a:extLst>
            <a:ext uri="{FF2B5EF4-FFF2-40B4-BE49-F238E27FC236}">
              <a16:creationId xmlns:a16="http://schemas.microsoft.com/office/drawing/2014/main" id="{1888C4F4-32DF-437B-8817-A69E75280FC4}"/>
            </a:ext>
          </a:extLst>
        </xdr:cNvPr>
        <xdr:cNvSpPr/>
      </xdr:nvSpPr>
      <xdr:spPr>
        <a:xfrm>
          <a:off x="9251526" y="825500"/>
          <a:ext cx="806308" cy="543278"/>
        </a:xfrm>
        <a:prstGeom prst="rect">
          <a:avLst/>
        </a:prstGeom>
        <a:solidFill>
          <a:schemeClr val="bg1"/>
        </a:solidFill>
        <a:ln w="1270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ysClr val="windowText" lastClr="000000"/>
            </a:solidFill>
          </a:endParaRPr>
        </a:p>
      </xdr:txBody>
    </xdr:sp>
    <xdr:clientData/>
  </xdr:twoCellAnchor>
  <xdr:twoCellAnchor>
    <xdr:from>
      <xdr:col>46</xdr:col>
      <xdr:colOff>18344</xdr:colOff>
      <xdr:row>5</xdr:row>
      <xdr:rowOff>4233</xdr:rowOff>
    </xdr:from>
    <xdr:to>
      <xdr:col>48</xdr:col>
      <xdr:colOff>32455</xdr:colOff>
      <xdr:row>6</xdr:row>
      <xdr:rowOff>95955</xdr:rowOff>
    </xdr:to>
    <xdr:sp macro="" textlink="">
      <xdr:nvSpPr>
        <xdr:cNvPr id="7" name="四角形: メモ 6">
          <a:extLst>
            <a:ext uri="{FF2B5EF4-FFF2-40B4-BE49-F238E27FC236}">
              <a16:creationId xmlns:a16="http://schemas.microsoft.com/office/drawing/2014/main" id="{05519DF6-FCAD-4599-9443-C8B135033955}"/>
            </a:ext>
          </a:extLst>
        </xdr:cNvPr>
        <xdr:cNvSpPr/>
      </xdr:nvSpPr>
      <xdr:spPr>
        <a:xfrm>
          <a:off x="10290104" y="956733"/>
          <a:ext cx="456071" cy="282222"/>
        </a:xfrm>
        <a:prstGeom prst="foldedCorner">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lang="en-US" sz="1100">
            <a:solidFill>
              <a:sysClr val="windowText" lastClr="000000"/>
            </a:solidFill>
          </a:endParaRPr>
        </a:p>
      </xdr:txBody>
    </xdr:sp>
    <xdr:clientData/>
  </xdr:twoCellAnchor>
  <xdr:twoCellAnchor>
    <xdr:from>
      <xdr:col>49</xdr:col>
      <xdr:colOff>1</xdr:colOff>
      <xdr:row>4</xdr:row>
      <xdr:rowOff>127001</xdr:rowOff>
    </xdr:from>
    <xdr:to>
      <xdr:col>51</xdr:col>
      <xdr:colOff>155223</xdr:colOff>
      <xdr:row>7</xdr:row>
      <xdr:rowOff>56445</xdr:rowOff>
    </xdr:to>
    <xdr:sp macro="" textlink="">
      <xdr:nvSpPr>
        <xdr:cNvPr id="8" name="フローチャート: 磁気ディスク 7">
          <a:extLst>
            <a:ext uri="{FF2B5EF4-FFF2-40B4-BE49-F238E27FC236}">
              <a16:creationId xmlns:a16="http://schemas.microsoft.com/office/drawing/2014/main" id="{77B2E3A0-9F83-472A-A34C-64BA39F514E0}"/>
            </a:ext>
          </a:extLst>
        </xdr:cNvPr>
        <xdr:cNvSpPr/>
      </xdr:nvSpPr>
      <xdr:spPr>
        <a:xfrm>
          <a:off x="10934701" y="889001"/>
          <a:ext cx="597182" cy="500944"/>
        </a:xfrm>
        <a:prstGeom prst="flowChartMagneticDisk">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ysClr val="windowText" lastClr="000000"/>
            </a:solidFill>
          </a:endParaRPr>
        </a:p>
      </xdr:txBody>
    </xdr:sp>
    <xdr:clientData/>
  </xdr:twoCellAnchor>
  <xdr:twoCellAnchor>
    <xdr:from>
      <xdr:col>52</xdr:col>
      <xdr:colOff>42334</xdr:colOff>
      <xdr:row>5</xdr:row>
      <xdr:rowOff>21166</xdr:rowOff>
    </xdr:from>
    <xdr:to>
      <xdr:col>55</xdr:col>
      <xdr:colOff>141111</xdr:colOff>
      <xdr:row>6</xdr:row>
      <xdr:rowOff>119944</xdr:rowOff>
    </xdr:to>
    <xdr:sp macro="" textlink="">
      <xdr:nvSpPr>
        <xdr:cNvPr id="9" name="楕円 8">
          <a:extLst>
            <a:ext uri="{FF2B5EF4-FFF2-40B4-BE49-F238E27FC236}">
              <a16:creationId xmlns:a16="http://schemas.microsoft.com/office/drawing/2014/main" id="{2E5B0B3E-6C15-4E4A-BC73-88A6D28F324C}"/>
            </a:ext>
          </a:extLst>
        </xdr:cNvPr>
        <xdr:cNvSpPr/>
      </xdr:nvSpPr>
      <xdr:spPr>
        <a:xfrm>
          <a:off x="11639974" y="973666"/>
          <a:ext cx="761717" cy="289278"/>
        </a:xfrm>
        <a:prstGeom prst="ellipse">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100">
              <a:solidFill>
                <a:sysClr val="windowText" lastClr="000000"/>
              </a:solidFill>
            </a:rPr>
            <a:t>API</a:t>
          </a:r>
        </a:p>
      </xdr:txBody>
    </xdr:sp>
    <xdr:clientData/>
  </xdr:twoCellAnchor>
  <xdr:twoCellAnchor>
    <xdr:from>
      <xdr:col>56</xdr:col>
      <xdr:colOff>77612</xdr:colOff>
      <xdr:row>4</xdr:row>
      <xdr:rowOff>162277</xdr:rowOff>
    </xdr:from>
    <xdr:to>
      <xdr:col>59</xdr:col>
      <xdr:colOff>105834</xdr:colOff>
      <xdr:row>6</xdr:row>
      <xdr:rowOff>134055</xdr:rowOff>
    </xdr:to>
    <xdr:sp macro="" textlink="">
      <xdr:nvSpPr>
        <xdr:cNvPr id="10" name="フローチャート: 準備 9">
          <a:extLst>
            <a:ext uri="{FF2B5EF4-FFF2-40B4-BE49-F238E27FC236}">
              <a16:creationId xmlns:a16="http://schemas.microsoft.com/office/drawing/2014/main" id="{FC25AD24-2420-42BF-BF29-DEF2592836B3}"/>
            </a:ext>
          </a:extLst>
        </xdr:cNvPr>
        <xdr:cNvSpPr/>
      </xdr:nvSpPr>
      <xdr:spPr>
        <a:xfrm>
          <a:off x="12559172" y="924277"/>
          <a:ext cx="691162" cy="352778"/>
        </a:xfrm>
        <a:prstGeom prst="flowChartPreparation">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lang="en-US" sz="1100">
            <a:solidFill>
              <a:sysClr val="windowText" lastClr="000000"/>
            </a:solidFill>
          </a:endParaRPr>
        </a:p>
      </xdr:txBody>
    </xdr:sp>
    <xdr:clientData/>
  </xdr:twoCellAnchor>
  <xdr:twoCellAnchor editAs="oneCell">
    <xdr:from>
      <xdr:col>59</xdr:col>
      <xdr:colOff>141112</xdr:colOff>
      <xdr:row>4</xdr:row>
      <xdr:rowOff>112890</xdr:rowOff>
    </xdr:from>
    <xdr:to>
      <xdr:col>62</xdr:col>
      <xdr:colOff>35278</xdr:colOff>
      <xdr:row>7</xdr:row>
      <xdr:rowOff>28222</xdr:rowOff>
    </xdr:to>
    <xdr:pic>
      <xdr:nvPicPr>
        <xdr:cNvPr id="11" name="グラフィックス 10" descr="封筒 枠線">
          <a:extLst>
            <a:ext uri="{FF2B5EF4-FFF2-40B4-BE49-F238E27FC236}">
              <a16:creationId xmlns:a16="http://schemas.microsoft.com/office/drawing/2014/main" id="{B2F6B5D7-411F-4AA1-8CAD-87C9051572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285612" y="874890"/>
          <a:ext cx="557106" cy="486832"/>
        </a:xfrm>
        <a:prstGeom prst="rect">
          <a:avLst/>
        </a:prstGeom>
      </xdr:spPr>
    </xdr:pic>
    <xdr:clientData/>
  </xdr:twoCellAnchor>
  <xdr:twoCellAnchor>
    <xdr:from>
      <xdr:col>31</xdr:col>
      <xdr:colOff>155222</xdr:colOff>
      <xdr:row>4</xdr:row>
      <xdr:rowOff>91722</xdr:rowOff>
    </xdr:from>
    <xdr:to>
      <xdr:col>35</xdr:col>
      <xdr:colOff>77610</xdr:colOff>
      <xdr:row>7</xdr:row>
      <xdr:rowOff>63500</xdr:rowOff>
    </xdr:to>
    <xdr:sp macro="" textlink="">
      <xdr:nvSpPr>
        <xdr:cNvPr id="12" name="正方形/長方形 11">
          <a:extLst>
            <a:ext uri="{FF2B5EF4-FFF2-40B4-BE49-F238E27FC236}">
              <a16:creationId xmlns:a16="http://schemas.microsoft.com/office/drawing/2014/main" id="{20F36516-DF3C-42FF-A403-EBB5E784C2A1}"/>
            </a:ext>
          </a:extLst>
        </xdr:cNvPr>
        <xdr:cNvSpPr/>
      </xdr:nvSpPr>
      <xdr:spPr>
        <a:xfrm>
          <a:off x="7112282" y="853722"/>
          <a:ext cx="806308" cy="543278"/>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ysClr val="windowText" lastClr="000000"/>
            </a:solidFill>
          </a:endParaRPr>
        </a:p>
      </xdr:txBody>
    </xdr:sp>
    <xdr:clientData/>
  </xdr:twoCellAnchor>
  <xdr:twoCellAnchor>
    <xdr:from>
      <xdr:col>13</xdr:col>
      <xdr:colOff>146758</xdr:colOff>
      <xdr:row>19</xdr:row>
      <xdr:rowOff>46568</xdr:rowOff>
    </xdr:from>
    <xdr:to>
      <xdr:col>16</xdr:col>
      <xdr:colOff>165099</xdr:colOff>
      <xdr:row>19</xdr:row>
      <xdr:rowOff>49390</xdr:rowOff>
    </xdr:to>
    <xdr:cxnSp macro="">
      <xdr:nvCxnSpPr>
        <xdr:cNvPr id="13" name="直線矢印コネクタ 12">
          <a:extLst>
            <a:ext uri="{FF2B5EF4-FFF2-40B4-BE49-F238E27FC236}">
              <a16:creationId xmlns:a16="http://schemas.microsoft.com/office/drawing/2014/main" id="{3CE48A0B-6D6E-4B39-8438-E9C534DEC32F}"/>
            </a:ext>
          </a:extLst>
        </xdr:cNvPr>
        <xdr:cNvCxnSpPr>
          <a:stCxn id="2" idx="3"/>
          <a:endCxn id="5" idx="1"/>
        </xdr:cNvCxnSpPr>
      </xdr:nvCxnSpPr>
      <xdr:spPr>
        <a:xfrm>
          <a:off x="3072838" y="3666068"/>
          <a:ext cx="681281" cy="2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110067</xdr:colOff>
      <xdr:row>4</xdr:row>
      <xdr:rowOff>101600</xdr:rowOff>
    </xdr:from>
    <xdr:to>
      <xdr:col>40</xdr:col>
      <xdr:colOff>20172</xdr:colOff>
      <xdr:row>7</xdr:row>
      <xdr:rowOff>25733</xdr:rowOff>
    </xdr:to>
    <xdr:sp macro="" textlink="">
      <xdr:nvSpPr>
        <xdr:cNvPr id="14" name="四角形: 角を丸くする 13">
          <a:extLst>
            <a:ext uri="{FF2B5EF4-FFF2-40B4-BE49-F238E27FC236}">
              <a16:creationId xmlns:a16="http://schemas.microsoft.com/office/drawing/2014/main" id="{709B038B-1D00-487A-A5EB-7CE19D323391}"/>
            </a:ext>
          </a:extLst>
        </xdr:cNvPr>
        <xdr:cNvSpPr/>
      </xdr:nvSpPr>
      <xdr:spPr>
        <a:xfrm>
          <a:off x="8172027" y="863600"/>
          <a:ext cx="794025" cy="495633"/>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clientData/>
  </xdr:twoCellAnchor>
  <xdr:twoCellAnchor>
    <xdr:from>
      <xdr:col>5</xdr:col>
      <xdr:colOff>75142</xdr:colOff>
      <xdr:row>67</xdr:row>
      <xdr:rowOff>76200</xdr:rowOff>
    </xdr:from>
    <xdr:to>
      <xdr:col>10</xdr:col>
      <xdr:colOff>25753</xdr:colOff>
      <xdr:row>71</xdr:row>
      <xdr:rowOff>123825</xdr:rowOff>
    </xdr:to>
    <xdr:sp macro="" textlink="">
      <xdr:nvSpPr>
        <xdr:cNvPr id="15" name="四角形: 角を丸くする 14">
          <a:extLst>
            <a:ext uri="{FF2B5EF4-FFF2-40B4-BE49-F238E27FC236}">
              <a16:creationId xmlns:a16="http://schemas.microsoft.com/office/drawing/2014/main" id="{BB9E336C-95C6-4D65-AEA8-752442522E3F}"/>
            </a:ext>
          </a:extLst>
        </xdr:cNvPr>
        <xdr:cNvSpPr/>
      </xdr:nvSpPr>
      <xdr:spPr>
        <a:xfrm>
          <a:off x="1180042" y="9791700"/>
          <a:ext cx="1108851" cy="809625"/>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a:t>14.</a:t>
          </a:r>
          <a:r>
            <a:rPr lang="ja-JP" altLang="ja-JP" sz="1100">
              <a:solidFill>
                <a:schemeClr val="dk1"/>
              </a:solidFill>
              <a:effectLst/>
              <a:latin typeface="+mn-lt"/>
              <a:ea typeface="+mn-ea"/>
              <a:cs typeface="+mn-cs"/>
            </a:rPr>
            <a:t>情報加工</a:t>
          </a:r>
          <a:r>
            <a:rPr lang="en-US" altLang="ja-JP" sz="1100">
              <a:solidFill>
                <a:schemeClr val="dk1"/>
              </a:solidFill>
              <a:effectLst/>
              <a:latin typeface="+mn-lt"/>
              <a:ea typeface="+mn-ea"/>
              <a:cs typeface="+mn-cs"/>
            </a:rPr>
            <a:t>  </a:t>
          </a:r>
        </a:p>
      </xdr:txBody>
    </xdr:sp>
    <xdr:clientData/>
  </xdr:twoCellAnchor>
  <xdr:twoCellAnchor>
    <xdr:from>
      <xdr:col>31</xdr:col>
      <xdr:colOff>19050</xdr:colOff>
      <xdr:row>71</xdr:row>
      <xdr:rowOff>123826</xdr:rowOff>
    </xdr:from>
    <xdr:to>
      <xdr:col>35</xdr:col>
      <xdr:colOff>171450</xdr:colOff>
      <xdr:row>75</xdr:row>
      <xdr:rowOff>47626</xdr:rowOff>
    </xdr:to>
    <xdr:sp macro="" textlink="">
      <xdr:nvSpPr>
        <xdr:cNvPr id="16" name="四角形: 角を丸くする 15">
          <a:extLst>
            <a:ext uri="{FF2B5EF4-FFF2-40B4-BE49-F238E27FC236}">
              <a16:creationId xmlns:a16="http://schemas.microsoft.com/office/drawing/2014/main" id="{084E0890-791D-4760-AE1B-5B517E51D03C}"/>
            </a:ext>
          </a:extLst>
        </xdr:cNvPr>
        <xdr:cNvSpPr/>
      </xdr:nvSpPr>
      <xdr:spPr>
        <a:xfrm>
          <a:off x="6976110" y="10601326"/>
          <a:ext cx="1036320" cy="685800"/>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a:solidFill>
                <a:schemeClr val="dk1"/>
              </a:solidFill>
              <a:effectLst/>
              <a:latin typeface="+mn-lt"/>
              <a:ea typeface="+mn-ea"/>
              <a:cs typeface="+mn-cs"/>
            </a:rPr>
            <a:t>17.</a:t>
          </a:r>
          <a:r>
            <a:rPr lang="ja-JP" altLang="en-US" sz="1100">
              <a:solidFill>
                <a:schemeClr val="dk1"/>
              </a:solidFill>
              <a:effectLst/>
              <a:latin typeface="+mn-ea"/>
              <a:ea typeface="+mn-ea"/>
              <a:cs typeface="+mn-cs"/>
            </a:rPr>
            <a:t>データの変換</a:t>
          </a:r>
          <a:endParaRPr lang="en-US" altLang="ja-JP" sz="1100">
            <a:solidFill>
              <a:schemeClr val="dk1"/>
            </a:solidFill>
            <a:effectLst/>
            <a:latin typeface="+mn-ea"/>
            <a:ea typeface="+mn-ea"/>
            <a:cs typeface="+mn-cs"/>
          </a:endParaRPr>
        </a:p>
        <a:p>
          <a:pPr algn="ctr"/>
          <a:endParaRPr lang="en-US" sz="1100">
            <a:latin typeface="+mn-ea"/>
            <a:ea typeface="+mn-ea"/>
          </a:endParaRPr>
        </a:p>
      </xdr:txBody>
    </xdr:sp>
    <xdr:clientData/>
  </xdr:twoCellAnchor>
  <xdr:twoCellAnchor>
    <xdr:from>
      <xdr:col>5</xdr:col>
      <xdr:colOff>28575</xdr:colOff>
      <xdr:row>56</xdr:row>
      <xdr:rowOff>104775</xdr:rowOff>
    </xdr:from>
    <xdr:to>
      <xdr:col>10</xdr:col>
      <xdr:colOff>95250</xdr:colOff>
      <xdr:row>66</xdr:row>
      <xdr:rowOff>85724</xdr:rowOff>
    </xdr:to>
    <xdr:sp macro="" textlink="">
      <xdr:nvSpPr>
        <xdr:cNvPr id="17" name="正方形/長方形 16">
          <a:extLst>
            <a:ext uri="{FF2B5EF4-FFF2-40B4-BE49-F238E27FC236}">
              <a16:creationId xmlns:a16="http://schemas.microsoft.com/office/drawing/2014/main" id="{CEBA538C-F306-41D5-8033-CCF22B725685}"/>
            </a:ext>
          </a:extLst>
        </xdr:cNvPr>
        <xdr:cNvSpPr/>
      </xdr:nvSpPr>
      <xdr:spPr>
        <a:xfrm>
          <a:off x="1133475" y="7724775"/>
          <a:ext cx="1224915" cy="1885949"/>
        </a:xfrm>
        <a:prstGeom prst="rect">
          <a:avLst/>
        </a:prstGeom>
        <a:noFill/>
        <a:ln w="1270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ysClr val="windowText" lastClr="000000"/>
            </a:solidFill>
          </a:endParaRPr>
        </a:p>
      </xdr:txBody>
    </xdr:sp>
    <xdr:clientData/>
  </xdr:twoCellAnchor>
  <xdr:twoCellAnchor>
    <xdr:from>
      <xdr:col>4</xdr:col>
      <xdr:colOff>142875</xdr:colOff>
      <xdr:row>57</xdr:row>
      <xdr:rowOff>9525</xdr:rowOff>
    </xdr:from>
    <xdr:to>
      <xdr:col>10</xdr:col>
      <xdr:colOff>85724</xdr:colOff>
      <xdr:row>61</xdr:row>
      <xdr:rowOff>180974</xdr:rowOff>
    </xdr:to>
    <xdr:sp macro="" textlink="">
      <xdr:nvSpPr>
        <xdr:cNvPr id="18" name="テキスト ボックス 17">
          <a:extLst>
            <a:ext uri="{FF2B5EF4-FFF2-40B4-BE49-F238E27FC236}">
              <a16:creationId xmlns:a16="http://schemas.microsoft.com/office/drawing/2014/main" id="{B9912E4A-99F3-47C3-8BDE-B93AAAE76976}"/>
            </a:ext>
          </a:extLst>
        </xdr:cNvPr>
        <xdr:cNvSpPr txBox="1"/>
      </xdr:nvSpPr>
      <xdr:spPr>
        <a:xfrm>
          <a:off x="1026795" y="7820025"/>
          <a:ext cx="1322069" cy="93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solidFill>
                <a:sysClr val="windowText" lastClr="000000"/>
              </a:solidFill>
              <a:latin typeface="メイリオ" panose="020B0604030504040204" pitchFamily="50" charset="-128"/>
              <a:ea typeface="メイリオ" panose="020B0604030504040204" pitchFamily="50" charset="-128"/>
            </a:rPr>
            <a:t>データ単位で実施</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a:p>
          <a:pPr algn="ctr"/>
          <a:r>
            <a:rPr kumimoji="1" lang="ja-JP" altLang="en-US" sz="1000">
              <a:solidFill>
                <a:sysClr val="windowText" lastClr="000000"/>
              </a:solidFill>
              <a:latin typeface="メイリオ" panose="020B0604030504040204" pitchFamily="50" charset="-128"/>
              <a:ea typeface="メイリオ" panose="020B0604030504040204" pitchFamily="50" charset="-128"/>
            </a:rPr>
            <a:t>プラント・出庫日より分割</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57150</xdr:colOff>
      <xdr:row>67</xdr:row>
      <xdr:rowOff>95250</xdr:rowOff>
    </xdr:from>
    <xdr:to>
      <xdr:col>17</xdr:col>
      <xdr:colOff>95250</xdr:colOff>
      <xdr:row>71</xdr:row>
      <xdr:rowOff>95250</xdr:rowOff>
    </xdr:to>
    <xdr:sp macro="" textlink="">
      <xdr:nvSpPr>
        <xdr:cNvPr id="19" name="四角形: 角を丸くする 18">
          <a:extLst>
            <a:ext uri="{FF2B5EF4-FFF2-40B4-BE49-F238E27FC236}">
              <a16:creationId xmlns:a16="http://schemas.microsoft.com/office/drawing/2014/main" id="{2797877B-6086-47CF-B634-4A0916EFFCBD}"/>
            </a:ext>
          </a:extLst>
        </xdr:cNvPr>
        <xdr:cNvSpPr/>
      </xdr:nvSpPr>
      <xdr:spPr>
        <a:xfrm>
          <a:off x="2762250" y="9810750"/>
          <a:ext cx="1196340" cy="762000"/>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atin typeface="+mn-lt"/>
              <a:ea typeface="+mn-ea"/>
            </a:rPr>
            <a:t>15</a:t>
          </a:r>
          <a:r>
            <a:rPr lang="en-US" sz="1100">
              <a:latin typeface="+mn-ea"/>
              <a:ea typeface="+mn-ea"/>
            </a:rPr>
            <a:t>.</a:t>
          </a:r>
          <a:r>
            <a:rPr lang="ja-JP" altLang="en-US" sz="1100">
              <a:latin typeface="+mn-ea"/>
              <a:ea typeface="+mn-ea"/>
            </a:rPr>
            <a:t>データ並行分岐処理</a:t>
          </a:r>
          <a:endParaRPr lang="en-US" sz="1100">
            <a:latin typeface="+mn-ea"/>
            <a:ea typeface="+mn-ea"/>
          </a:endParaRPr>
        </a:p>
      </xdr:txBody>
    </xdr:sp>
    <xdr:clientData/>
  </xdr:twoCellAnchor>
  <xdr:twoCellAnchor>
    <xdr:from>
      <xdr:col>21</xdr:col>
      <xdr:colOff>38099</xdr:colOff>
      <xdr:row>67</xdr:row>
      <xdr:rowOff>76200</xdr:rowOff>
    </xdr:from>
    <xdr:to>
      <xdr:col>26</xdr:col>
      <xdr:colOff>28575</xdr:colOff>
      <xdr:row>71</xdr:row>
      <xdr:rowOff>114300</xdr:rowOff>
    </xdr:to>
    <xdr:sp macro="" textlink="">
      <xdr:nvSpPr>
        <xdr:cNvPr id="20" name="四角形: 角を丸くする 19">
          <a:extLst>
            <a:ext uri="{FF2B5EF4-FFF2-40B4-BE49-F238E27FC236}">
              <a16:creationId xmlns:a16="http://schemas.microsoft.com/office/drawing/2014/main" id="{BA7FAE1C-28D0-4139-A04B-6222844E3940}"/>
            </a:ext>
          </a:extLst>
        </xdr:cNvPr>
        <xdr:cNvSpPr/>
      </xdr:nvSpPr>
      <xdr:spPr>
        <a:xfrm>
          <a:off x="4785359" y="9791700"/>
          <a:ext cx="1095376" cy="800100"/>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a:latin typeface="+mn-lt"/>
              <a:ea typeface="+mn-ea"/>
            </a:rPr>
            <a:t>16-2.</a:t>
          </a:r>
        </a:p>
        <a:p>
          <a:pPr algn="ctr"/>
          <a:r>
            <a:rPr lang="ja-JP" altLang="en-US" sz="1100">
              <a:latin typeface="+mn-ea"/>
              <a:ea typeface="+mn-ea"/>
            </a:rPr>
            <a:t>遅延エラーファイル名設定</a:t>
          </a:r>
          <a:endParaRPr lang="en-US" sz="1100">
            <a:latin typeface="+mn-ea"/>
            <a:ea typeface="+mn-ea"/>
          </a:endParaRPr>
        </a:p>
      </xdr:txBody>
    </xdr:sp>
    <xdr:clientData/>
  </xdr:twoCellAnchor>
  <xdr:twoCellAnchor>
    <xdr:from>
      <xdr:col>0</xdr:col>
      <xdr:colOff>42334</xdr:colOff>
      <xdr:row>46</xdr:row>
      <xdr:rowOff>180620</xdr:rowOff>
    </xdr:from>
    <xdr:to>
      <xdr:col>4</xdr:col>
      <xdr:colOff>25400</xdr:colOff>
      <xdr:row>51</xdr:row>
      <xdr:rowOff>178646</xdr:rowOff>
    </xdr:to>
    <xdr:sp macro="" textlink="">
      <xdr:nvSpPr>
        <xdr:cNvPr id="21" name="正方形/長方形 20">
          <a:extLst>
            <a:ext uri="{FF2B5EF4-FFF2-40B4-BE49-F238E27FC236}">
              <a16:creationId xmlns:a16="http://schemas.microsoft.com/office/drawing/2014/main" id="{CFD884F5-9812-4F08-BC85-F0A74C0D10F7}"/>
            </a:ext>
          </a:extLst>
        </xdr:cNvPr>
        <xdr:cNvSpPr/>
      </xdr:nvSpPr>
      <xdr:spPr>
        <a:xfrm>
          <a:off x="42334" y="5895620"/>
          <a:ext cx="866986" cy="950526"/>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100">
              <a:solidFill>
                <a:sysClr val="windowText" lastClr="000000"/>
              </a:solidFill>
              <a:effectLst/>
              <a:latin typeface="+mn-lt"/>
              <a:ea typeface="+mn-ea"/>
              <a:cs typeface="+mn-cs"/>
            </a:rPr>
            <a:t>　</a:t>
          </a:r>
          <a:r>
            <a:rPr lang="en-US" altLang="ja-JP" sz="1100">
              <a:solidFill>
                <a:sysClr val="windowText" lastClr="000000"/>
              </a:solidFill>
              <a:effectLst/>
              <a:latin typeface="+mn-lt"/>
              <a:ea typeface="+mn-ea"/>
              <a:cs typeface="+mn-cs"/>
            </a:rPr>
            <a:t>DataShpere</a:t>
          </a:r>
          <a:endParaRPr lang="ja-JP" altLang="ja-JP">
            <a:solidFill>
              <a:sysClr val="windowText" lastClr="000000"/>
            </a:solidFill>
            <a:effectLst/>
          </a:endParaRPr>
        </a:p>
      </xdr:txBody>
    </xdr:sp>
    <xdr:clientData/>
  </xdr:twoCellAnchor>
  <xdr:twoCellAnchor>
    <xdr:from>
      <xdr:col>5</xdr:col>
      <xdr:colOff>200025</xdr:colOff>
      <xdr:row>47</xdr:row>
      <xdr:rowOff>104775</xdr:rowOff>
    </xdr:from>
    <xdr:to>
      <xdr:col>11</xdr:col>
      <xdr:colOff>7409</xdr:colOff>
      <xdr:row>51</xdr:row>
      <xdr:rowOff>66678</xdr:rowOff>
    </xdr:to>
    <xdr:sp macro="" textlink="">
      <xdr:nvSpPr>
        <xdr:cNvPr id="22" name="四角形: 角を丸くする 21">
          <a:extLst>
            <a:ext uri="{FF2B5EF4-FFF2-40B4-BE49-F238E27FC236}">
              <a16:creationId xmlns:a16="http://schemas.microsoft.com/office/drawing/2014/main" id="{1E94167A-BB0A-43C9-AE0F-D5B153860DBA}"/>
            </a:ext>
          </a:extLst>
        </xdr:cNvPr>
        <xdr:cNvSpPr/>
      </xdr:nvSpPr>
      <xdr:spPr>
        <a:xfrm>
          <a:off x="1304925" y="6010275"/>
          <a:ext cx="1186604" cy="723903"/>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7.</a:t>
          </a:r>
          <a:r>
            <a:rPr lang="ja-JP" altLang="en-US" sz="1100">
              <a:solidFill>
                <a:schemeClr val="dk1"/>
              </a:solidFill>
              <a:effectLst/>
              <a:latin typeface="+mn-lt"/>
              <a:ea typeface="+mn-ea"/>
              <a:cs typeface="+mn-cs"/>
            </a:rPr>
            <a:t>日中・夜間・差分・再実行の分岐条件作成</a:t>
          </a:r>
          <a:endParaRPr lang="ja-JP" altLang="ja-JP">
            <a:effectLst/>
          </a:endParaRPr>
        </a:p>
        <a:p>
          <a:pPr algn="ctr"/>
          <a:endParaRPr lang="en-US" sz="1100"/>
        </a:p>
      </xdr:txBody>
    </xdr:sp>
    <xdr:clientData/>
  </xdr:twoCellAnchor>
  <xdr:twoCellAnchor>
    <xdr:from>
      <xdr:col>17</xdr:col>
      <xdr:colOff>95249</xdr:colOff>
      <xdr:row>49</xdr:row>
      <xdr:rowOff>90487</xdr:rowOff>
    </xdr:from>
    <xdr:to>
      <xdr:col>18</xdr:col>
      <xdr:colOff>159812</xdr:colOff>
      <xdr:row>49</xdr:row>
      <xdr:rowOff>92360</xdr:rowOff>
    </xdr:to>
    <xdr:cxnSp macro="">
      <xdr:nvCxnSpPr>
        <xdr:cNvPr id="23" name="直線矢印コネクタ 22">
          <a:extLst>
            <a:ext uri="{FF2B5EF4-FFF2-40B4-BE49-F238E27FC236}">
              <a16:creationId xmlns:a16="http://schemas.microsoft.com/office/drawing/2014/main" id="{320D601D-A048-4459-B470-2BF0307E7ACE}"/>
            </a:ext>
          </a:extLst>
        </xdr:cNvPr>
        <xdr:cNvCxnSpPr>
          <a:cxnSpLocks/>
          <a:stCxn id="66" idx="3"/>
          <a:endCxn id="29" idx="1"/>
        </xdr:cNvCxnSpPr>
      </xdr:nvCxnSpPr>
      <xdr:spPr>
        <a:xfrm>
          <a:off x="3933824" y="6376987"/>
          <a:ext cx="283638" cy="187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67733</xdr:colOff>
      <xdr:row>49</xdr:row>
      <xdr:rowOff>50799</xdr:rowOff>
    </xdr:from>
    <xdr:to>
      <xdr:col>3</xdr:col>
      <xdr:colOff>143933</xdr:colOff>
      <xdr:row>50</xdr:row>
      <xdr:rowOff>186264</xdr:rowOff>
    </xdr:to>
    <xdr:sp macro="" textlink="">
      <xdr:nvSpPr>
        <xdr:cNvPr id="24" name="楕円 23">
          <a:extLst>
            <a:ext uri="{FF2B5EF4-FFF2-40B4-BE49-F238E27FC236}">
              <a16:creationId xmlns:a16="http://schemas.microsoft.com/office/drawing/2014/main" id="{6C1F8428-A30A-4022-8499-C966BF235DCB}"/>
            </a:ext>
          </a:extLst>
        </xdr:cNvPr>
        <xdr:cNvSpPr/>
      </xdr:nvSpPr>
      <xdr:spPr>
        <a:xfrm>
          <a:off x="67733" y="6337299"/>
          <a:ext cx="739140" cy="325965"/>
        </a:xfrm>
        <a:prstGeom prst="ellipse">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100">
              <a:solidFill>
                <a:sysClr val="windowText" lastClr="000000"/>
              </a:solidFill>
            </a:rPr>
            <a:t>JDBC</a:t>
          </a:r>
        </a:p>
      </xdr:txBody>
    </xdr:sp>
    <xdr:clientData/>
  </xdr:twoCellAnchor>
  <xdr:twoCellAnchor>
    <xdr:from>
      <xdr:col>36</xdr:col>
      <xdr:colOff>125941</xdr:colOff>
      <xdr:row>11</xdr:row>
      <xdr:rowOff>3175</xdr:rowOff>
    </xdr:from>
    <xdr:to>
      <xdr:col>42</xdr:col>
      <xdr:colOff>198940</xdr:colOff>
      <xdr:row>15</xdr:row>
      <xdr:rowOff>142875</xdr:rowOff>
    </xdr:to>
    <xdr:sp macro="" textlink="">
      <xdr:nvSpPr>
        <xdr:cNvPr id="26" name="正方形/長方形 25">
          <a:extLst>
            <a:ext uri="{FF2B5EF4-FFF2-40B4-BE49-F238E27FC236}">
              <a16:creationId xmlns:a16="http://schemas.microsoft.com/office/drawing/2014/main" id="{A38C9C41-9806-4AE6-B1B8-88BC4AEF8BAE}"/>
            </a:ext>
          </a:extLst>
        </xdr:cNvPr>
        <xdr:cNvSpPr/>
      </xdr:nvSpPr>
      <xdr:spPr>
        <a:xfrm>
          <a:off x="8187901" y="2098675"/>
          <a:ext cx="1398879" cy="901700"/>
        </a:xfrm>
        <a:prstGeom prst="rect">
          <a:avLst/>
        </a:prstGeom>
        <a:solidFill>
          <a:schemeClr val="bg1"/>
        </a:solidFill>
        <a:ln w="12700">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1000">
              <a:solidFill>
                <a:sysClr val="windowText" lastClr="000000"/>
              </a:solidFill>
              <a:latin typeface="+mn-ea"/>
              <a:ea typeface="+mn-ea"/>
            </a:rPr>
            <a:t>エラーの場合、</a:t>
          </a:r>
          <a:r>
            <a:rPr lang="en-US" altLang="ja-JP" sz="1000">
              <a:solidFill>
                <a:sysClr val="windowText" lastClr="000000"/>
              </a:solidFill>
              <a:latin typeface="+mn-ea"/>
              <a:ea typeface="+mn-ea"/>
            </a:rPr>
            <a:t>Cloud ALM</a:t>
          </a:r>
          <a:r>
            <a:rPr lang="ja-JP" altLang="en-US" sz="1000">
              <a:solidFill>
                <a:sysClr val="windowText" lastClr="000000"/>
              </a:solidFill>
              <a:latin typeface="+mn-ea"/>
              <a:ea typeface="+mn-ea"/>
            </a:rPr>
            <a:t>経由にて管理者へメール通知</a:t>
          </a:r>
          <a:endParaRPr lang="en-US" sz="1000">
            <a:solidFill>
              <a:sysClr val="windowText" lastClr="000000"/>
            </a:solidFill>
            <a:latin typeface="+mn-ea"/>
            <a:ea typeface="+mn-ea"/>
          </a:endParaRPr>
        </a:p>
      </xdr:txBody>
    </xdr:sp>
    <xdr:clientData/>
  </xdr:twoCellAnchor>
  <xdr:twoCellAnchor>
    <xdr:from>
      <xdr:col>31</xdr:col>
      <xdr:colOff>128588</xdr:colOff>
      <xdr:row>11</xdr:row>
      <xdr:rowOff>3176</xdr:rowOff>
    </xdr:from>
    <xdr:to>
      <xdr:col>39</xdr:col>
      <xdr:colOff>162441</xdr:colOff>
      <xdr:row>16</xdr:row>
      <xdr:rowOff>38101</xdr:rowOff>
    </xdr:to>
    <xdr:cxnSp macro="">
      <xdr:nvCxnSpPr>
        <xdr:cNvPr id="27" name="コネクタ: カギ線 26">
          <a:extLst>
            <a:ext uri="{FF2B5EF4-FFF2-40B4-BE49-F238E27FC236}">
              <a16:creationId xmlns:a16="http://schemas.microsoft.com/office/drawing/2014/main" id="{2AB82E37-7237-42C2-9907-B206DAAA5FEB}"/>
            </a:ext>
          </a:extLst>
        </xdr:cNvPr>
        <xdr:cNvCxnSpPr>
          <a:stCxn id="33" idx="0"/>
          <a:endCxn id="26" idx="0"/>
        </xdr:cNvCxnSpPr>
      </xdr:nvCxnSpPr>
      <xdr:spPr>
        <a:xfrm rot="5400000" flipH="1" flipV="1">
          <a:off x="7492782" y="1691542"/>
          <a:ext cx="987425" cy="1801693"/>
        </a:xfrm>
        <a:prstGeom prst="bentConnector3">
          <a:avLst>
            <a:gd name="adj1" fmla="val 12315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38</xdr:col>
      <xdr:colOff>83609</xdr:colOff>
      <xdr:row>13</xdr:row>
      <xdr:rowOff>104775</xdr:rowOff>
    </xdr:from>
    <xdr:ext cx="552449" cy="486832"/>
    <xdr:pic>
      <xdr:nvPicPr>
        <xdr:cNvPr id="28" name="グラフィックス 27" descr="封筒 枠線">
          <a:extLst>
            <a:ext uri="{FF2B5EF4-FFF2-40B4-BE49-F238E27FC236}">
              <a16:creationId xmlns:a16="http://schemas.microsoft.com/office/drawing/2014/main" id="{32D1BD56-E103-4083-B2E5-8FEDED772C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87529" y="2581275"/>
          <a:ext cx="552449" cy="486832"/>
        </a:xfrm>
        <a:prstGeom prst="rect">
          <a:avLst/>
        </a:prstGeom>
      </xdr:spPr>
    </xdr:pic>
    <xdr:clientData/>
  </xdr:oneCellAnchor>
  <xdr:twoCellAnchor>
    <xdr:from>
      <xdr:col>18</xdr:col>
      <xdr:colOff>159812</xdr:colOff>
      <xdr:row>47</xdr:row>
      <xdr:rowOff>136528</xdr:rowOff>
    </xdr:from>
    <xdr:to>
      <xdr:col>23</xdr:col>
      <xdr:colOff>75144</xdr:colOff>
      <xdr:row>51</xdr:row>
      <xdr:rowOff>48192</xdr:rowOff>
    </xdr:to>
    <xdr:sp macro="" textlink="">
      <xdr:nvSpPr>
        <xdr:cNvPr id="29" name="四角形: 角を丸くする 28">
          <a:extLst>
            <a:ext uri="{FF2B5EF4-FFF2-40B4-BE49-F238E27FC236}">
              <a16:creationId xmlns:a16="http://schemas.microsoft.com/office/drawing/2014/main" id="{10EA2B4A-9709-4171-9A3A-1F6F7A7DE7F9}"/>
            </a:ext>
          </a:extLst>
        </xdr:cNvPr>
        <xdr:cNvSpPr/>
      </xdr:nvSpPr>
      <xdr:spPr>
        <a:xfrm>
          <a:off x="4217462" y="6042028"/>
          <a:ext cx="1010707" cy="673664"/>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a:solidFill>
                <a:schemeClr val="dk1"/>
              </a:solidFill>
              <a:latin typeface="+mn-lt"/>
              <a:ea typeface="+mn-ea"/>
              <a:cs typeface="+mn-cs"/>
            </a:rPr>
            <a:t>9.</a:t>
          </a:r>
          <a:r>
            <a:rPr lang="ja-JP" altLang="en-US" sz="1100">
              <a:solidFill>
                <a:schemeClr val="dk1"/>
              </a:solidFill>
              <a:latin typeface="+mn-lt"/>
              <a:ea typeface="+mn-ea"/>
              <a:cs typeface="+mn-cs"/>
            </a:rPr>
            <a:t>出荷伝票情報取得</a:t>
          </a:r>
          <a:endParaRPr lang="en-US" sz="1100">
            <a:solidFill>
              <a:schemeClr val="dk1"/>
            </a:solidFill>
            <a:latin typeface="+mn-lt"/>
            <a:ea typeface="+mn-ea"/>
            <a:cs typeface="+mn-cs"/>
          </a:endParaRPr>
        </a:p>
      </xdr:txBody>
    </xdr:sp>
    <xdr:clientData/>
  </xdr:twoCellAnchor>
  <xdr:twoCellAnchor>
    <xdr:from>
      <xdr:col>7</xdr:col>
      <xdr:colOff>119592</xdr:colOff>
      <xdr:row>53</xdr:row>
      <xdr:rowOff>0</xdr:rowOff>
    </xdr:from>
    <xdr:to>
      <xdr:col>15</xdr:col>
      <xdr:colOff>155999</xdr:colOff>
      <xdr:row>54</xdr:row>
      <xdr:rowOff>80434</xdr:rowOff>
    </xdr:to>
    <xdr:sp macro="" textlink="">
      <xdr:nvSpPr>
        <xdr:cNvPr id="30" name="テキスト ボックス 29">
          <a:extLst>
            <a:ext uri="{FF2B5EF4-FFF2-40B4-BE49-F238E27FC236}">
              <a16:creationId xmlns:a16="http://schemas.microsoft.com/office/drawing/2014/main" id="{6203F0AE-7431-4A07-BC62-06C6356367A0}"/>
            </a:ext>
          </a:extLst>
        </xdr:cNvPr>
        <xdr:cNvSpPr txBox="1"/>
      </xdr:nvSpPr>
      <xdr:spPr>
        <a:xfrm>
          <a:off x="1666452" y="7048500"/>
          <a:ext cx="1857587"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対象データがある場合</a:t>
          </a:r>
        </a:p>
      </xdr:txBody>
    </xdr:sp>
    <xdr:clientData/>
  </xdr:twoCellAnchor>
  <xdr:twoCellAnchor>
    <xdr:from>
      <xdr:col>59</xdr:col>
      <xdr:colOff>152401</xdr:colOff>
      <xdr:row>19</xdr:row>
      <xdr:rowOff>101388</xdr:rowOff>
    </xdr:from>
    <xdr:to>
      <xdr:col>62</xdr:col>
      <xdr:colOff>200026</xdr:colOff>
      <xdr:row>25</xdr:row>
      <xdr:rowOff>66666</xdr:rowOff>
    </xdr:to>
    <xdr:sp macro="" textlink="">
      <xdr:nvSpPr>
        <xdr:cNvPr id="31" name="Rectangle 23">
          <a:extLst>
            <a:ext uri="{FF2B5EF4-FFF2-40B4-BE49-F238E27FC236}">
              <a16:creationId xmlns:a16="http://schemas.microsoft.com/office/drawing/2014/main" id="{61FE18FC-06EE-4BD7-96C7-7287FD7BA805}"/>
            </a:ext>
          </a:extLst>
        </xdr:cNvPr>
        <xdr:cNvSpPr/>
      </xdr:nvSpPr>
      <xdr:spPr>
        <a:xfrm>
          <a:off x="13296901" y="3720888"/>
          <a:ext cx="710565" cy="1108278"/>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ysClr val="windowText" lastClr="000000"/>
              </a:solidFill>
              <a:effectLst/>
              <a:latin typeface="+mn-lt"/>
              <a:ea typeface="+mn-ea"/>
              <a:cs typeface="+mn-cs"/>
            </a:rPr>
            <a:t>Smart</a:t>
          </a:r>
          <a:r>
            <a:rPr lang="ja-JP" altLang="ja-JP" sz="1100">
              <a:solidFill>
                <a:sysClr val="windowText" lastClr="000000"/>
              </a:solidFill>
              <a:effectLst/>
              <a:latin typeface="+mn-lt"/>
              <a:ea typeface="+mn-ea"/>
              <a:cs typeface="+mn-cs"/>
            </a:rPr>
            <a:t> </a:t>
          </a:r>
          <a:r>
            <a:rPr lang="en-US" altLang="ja-JP" sz="1100">
              <a:solidFill>
                <a:sysClr val="windowText" lastClr="000000"/>
              </a:solidFill>
              <a:effectLst/>
              <a:latin typeface="+mn-lt"/>
              <a:ea typeface="+mn-ea"/>
              <a:cs typeface="+mn-cs"/>
            </a:rPr>
            <a:t>Cat</a:t>
          </a:r>
          <a:endParaRPr lang="ja-JP" altLang="ja-JP">
            <a:solidFill>
              <a:sysClr val="windowText" lastClr="000000"/>
            </a:solidFill>
            <a:effectLst/>
          </a:endParaRPr>
        </a:p>
      </xdr:txBody>
    </xdr:sp>
    <xdr:clientData/>
  </xdr:twoCellAnchor>
  <xdr:twoCellAnchor>
    <xdr:from>
      <xdr:col>59</xdr:col>
      <xdr:colOff>193675</xdr:colOff>
      <xdr:row>22</xdr:row>
      <xdr:rowOff>81491</xdr:rowOff>
    </xdr:from>
    <xdr:to>
      <xdr:col>62</xdr:col>
      <xdr:colOff>142875</xdr:colOff>
      <xdr:row>24</xdr:row>
      <xdr:rowOff>38100</xdr:rowOff>
    </xdr:to>
    <xdr:sp macro="" textlink="">
      <xdr:nvSpPr>
        <xdr:cNvPr id="32" name="四角形: メモ 31">
          <a:extLst>
            <a:ext uri="{FF2B5EF4-FFF2-40B4-BE49-F238E27FC236}">
              <a16:creationId xmlns:a16="http://schemas.microsoft.com/office/drawing/2014/main" id="{E52A9492-2B87-4AFD-8517-DA23F00DF4B2}"/>
            </a:ext>
          </a:extLst>
        </xdr:cNvPr>
        <xdr:cNvSpPr/>
      </xdr:nvSpPr>
      <xdr:spPr>
        <a:xfrm>
          <a:off x="13338175" y="4272491"/>
          <a:ext cx="612140" cy="337609"/>
        </a:xfrm>
        <a:prstGeom prst="foldedCorner">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ja-JP" altLang="en-US" sz="1100">
              <a:solidFill>
                <a:sysClr val="windowText" lastClr="000000"/>
              </a:solidFill>
            </a:rPr>
            <a:t>送り状</a:t>
          </a:r>
          <a:endParaRPr lang="en-US" sz="1100">
            <a:solidFill>
              <a:sysClr val="windowText" lastClr="000000"/>
            </a:solidFill>
          </a:endParaRPr>
        </a:p>
      </xdr:txBody>
    </xdr:sp>
    <xdr:clientData/>
  </xdr:twoCellAnchor>
  <xdr:twoCellAnchor>
    <xdr:from>
      <xdr:col>4</xdr:col>
      <xdr:colOff>28575</xdr:colOff>
      <xdr:row>16</xdr:row>
      <xdr:rowOff>38100</xdr:rowOff>
    </xdr:from>
    <xdr:to>
      <xdr:col>59</xdr:col>
      <xdr:colOff>123826</xdr:colOff>
      <xdr:row>127</xdr:row>
      <xdr:rowOff>9525</xdr:rowOff>
    </xdr:to>
    <xdr:sp macro="" textlink="">
      <xdr:nvSpPr>
        <xdr:cNvPr id="33" name="正方形/長方形 32">
          <a:extLst>
            <a:ext uri="{FF2B5EF4-FFF2-40B4-BE49-F238E27FC236}">
              <a16:creationId xmlns:a16="http://schemas.microsoft.com/office/drawing/2014/main" id="{F82AED1D-9E96-4FD4-A0F8-64A20D5849EC}"/>
            </a:ext>
          </a:extLst>
        </xdr:cNvPr>
        <xdr:cNvSpPr/>
      </xdr:nvSpPr>
      <xdr:spPr>
        <a:xfrm>
          <a:off x="912495" y="3086100"/>
          <a:ext cx="12355831" cy="12734925"/>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ysClr val="windowText" lastClr="000000"/>
            </a:solidFill>
          </a:endParaRPr>
        </a:p>
      </xdr:txBody>
    </xdr:sp>
    <xdr:clientData/>
  </xdr:twoCellAnchor>
  <xdr:twoCellAnchor>
    <xdr:from>
      <xdr:col>37</xdr:col>
      <xdr:colOff>123824</xdr:colOff>
      <xdr:row>71</xdr:row>
      <xdr:rowOff>131670</xdr:rowOff>
    </xdr:from>
    <xdr:to>
      <xdr:col>42</xdr:col>
      <xdr:colOff>209550</xdr:colOff>
      <xdr:row>75</xdr:row>
      <xdr:rowOff>43333</xdr:rowOff>
    </xdr:to>
    <xdr:sp macro="" textlink="">
      <xdr:nvSpPr>
        <xdr:cNvPr id="34" name="四角形: 角を丸くする 33">
          <a:extLst>
            <a:ext uri="{FF2B5EF4-FFF2-40B4-BE49-F238E27FC236}">
              <a16:creationId xmlns:a16="http://schemas.microsoft.com/office/drawing/2014/main" id="{937F1B8C-96B6-4767-8300-4CC662272754}"/>
            </a:ext>
          </a:extLst>
        </xdr:cNvPr>
        <xdr:cNvSpPr/>
      </xdr:nvSpPr>
      <xdr:spPr>
        <a:xfrm>
          <a:off x="8343899" y="13657170"/>
          <a:ext cx="1181101" cy="673663"/>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a:solidFill>
                <a:schemeClr val="dk1"/>
              </a:solidFill>
              <a:effectLst/>
              <a:latin typeface="+mn-lt"/>
              <a:ea typeface="+mn-ea"/>
              <a:cs typeface="+mn-cs"/>
            </a:rPr>
            <a:t>18</a:t>
          </a:r>
          <a:r>
            <a:rPr lang="en-US" altLang="ja-JP" sz="1100">
              <a:solidFill>
                <a:schemeClr val="dk1"/>
              </a:solidFill>
              <a:effectLst/>
              <a:latin typeface="+mn-ea"/>
              <a:ea typeface="+mn-ea"/>
              <a:cs typeface="+mn-cs"/>
            </a:rPr>
            <a:t>.</a:t>
          </a:r>
          <a:r>
            <a:rPr lang="ja-JP" altLang="en-US" sz="1100">
              <a:solidFill>
                <a:schemeClr val="dk1"/>
              </a:solidFill>
              <a:effectLst/>
              <a:latin typeface="+mn-ea"/>
              <a:ea typeface="+mn-ea"/>
              <a:cs typeface="+mn-cs"/>
            </a:rPr>
            <a:t>共有フォルダに出力</a:t>
          </a:r>
          <a:endParaRPr lang="en-US" altLang="ja-JP" sz="1100">
            <a:solidFill>
              <a:schemeClr val="dk1"/>
            </a:solidFill>
            <a:effectLst/>
            <a:latin typeface="+mn-ea"/>
            <a:ea typeface="+mn-ea"/>
            <a:cs typeface="+mn-cs"/>
          </a:endParaRPr>
        </a:p>
      </xdr:txBody>
    </xdr:sp>
    <xdr:clientData/>
  </xdr:twoCellAnchor>
  <xdr:twoCellAnchor>
    <xdr:from>
      <xdr:col>36</xdr:col>
      <xdr:colOff>200025</xdr:colOff>
      <xdr:row>47</xdr:row>
      <xdr:rowOff>133350</xdr:rowOff>
    </xdr:from>
    <xdr:to>
      <xdr:col>42</xdr:col>
      <xdr:colOff>66676</xdr:colOff>
      <xdr:row>51</xdr:row>
      <xdr:rowOff>45013</xdr:rowOff>
    </xdr:to>
    <xdr:sp macro="" textlink="">
      <xdr:nvSpPr>
        <xdr:cNvPr id="35" name="四角形: 角を丸くする 34">
          <a:extLst>
            <a:ext uri="{FF2B5EF4-FFF2-40B4-BE49-F238E27FC236}">
              <a16:creationId xmlns:a16="http://schemas.microsoft.com/office/drawing/2014/main" id="{04D71986-EA2D-40B6-9069-B7B2C5DCD7D8}"/>
            </a:ext>
          </a:extLst>
        </xdr:cNvPr>
        <xdr:cNvSpPr/>
      </xdr:nvSpPr>
      <xdr:spPr>
        <a:xfrm>
          <a:off x="8201025" y="6038850"/>
          <a:ext cx="1181101" cy="673663"/>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solidFill>
                <a:schemeClr val="dk1"/>
              </a:solidFill>
              <a:effectLst/>
              <a:latin typeface="+mn-lt"/>
              <a:ea typeface="+mn-ea"/>
              <a:cs typeface="+mn-cs"/>
            </a:rPr>
            <a:t>12-1</a:t>
          </a:r>
          <a:r>
            <a:rPr lang="en-US" sz="1100">
              <a:latin typeface="+mn-ea"/>
              <a:ea typeface="+mn-ea"/>
            </a:rPr>
            <a:t>.</a:t>
          </a:r>
          <a:r>
            <a:rPr lang="ja-JP" altLang="en-US" sz="1100">
              <a:solidFill>
                <a:schemeClr val="dk1"/>
              </a:solidFill>
              <a:effectLst/>
              <a:latin typeface="+mn-ea"/>
              <a:ea typeface="+mn-ea"/>
              <a:cs typeface="+mn-cs"/>
            </a:rPr>
            <a:t>差分データ保存</a:t>
          </a:r>
          <a:endParaRPr lang="en-US" sz="1100">
            <a:latin typeface="+mn-ea"/>
            <a:ea typeface="+mn-ea"/>
          </a:endParaRPr>
        </a:p>
      </xdr:txBody>
    </xdr:sp>
    <xdr:clientData/>
  </xdr:twoCellAnchor>
  <xdr:twoCellAnchor>
    <xdr:from>
      <xdr:col>23</xdr:col>
      <xdr:colOff>75144</xdr:colOff>
      <xdr:row>49</xdr:row>
      <xdr:rowOff>89182</xdr:rowOff>
    </xdr:from>
    <xdr:to>
      <xdr:col>24</xdr:col>
      <xdr:colOff>161925</xdr:colOff>
      <xdr:row>49</xdr:row>
      <xdr:rowOff>92360</xdr:rowOff>
    </xdr:to>
    <xdr:cxnSp macro="">
      <xdr:nvCxnSpPr>
        <xdr:cNvPr id="36" name="直線矢印コネクタ 35">
          <a:extLst>
            <a:ext uri="{FF2B5EF4-FFF2-40B4-BE49-F238E27FC236}">
              <a16:creationId xmlns:a16="http://schemas.microsoft.com/office/drawing/2014/main" id="{4AB8E835-1B3A-4CED-B1B1-86CC446E87F2}"/>
            </a:ext>
          </a:extLst>
        </xdr:cNvPr>
        <xdr:cNvCxnSpPr>
          <a:stCxn id="29" idx="3"/>
          <a:endCxn id="80" idx="1"/>
        </xdr:cNvCxnSpPr>
      </xdr:nvCxnSpPr>
      <xdr:spPr>
        <a:xfrm flipV="1">
          <a:off x="5228169" y="9423682"/>
          <a:ext cx="305856" cy="31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66676</xdr:colOff>
      <xdr:row>49</xdr:row>
      <xdr:rowOff>89182</xdr:rowOff>
    </xdr:from>
    <xdr:to>
      <xdr:col>44</xdr:col>
      <xdr:colOff>0</xdr:colOff>
      <xdr:row>49</xdr:row>
      <xdr:rowOff>89182</xdr:rowOff>
    </xdr:to>
    <xdr:cxnSp macro="">
      <xdr:nvCxnSpPr>
        <xdr:cNvPr id="37" name="直線矢印コネクタ 36">
          <a:extLst>
            <a:ext uri="{FF2B5EF4-FFF2-40B4-BE49-F238E27FC236}">
              <a16:creationId xmlns:a16="http://schemas.microsoft.com/office/drawing/2014/main" id="{9B454BA2-0455-4D07-ABBB-ABB664966E80}"/>
            </a:ext>
          </a:extLst>
        </xdr:cNvPr>
        <xdr:cNvCxnSpPr>
          <a:cxnSpLocks/>
          <a:stCxn id="35" idx="3"/>
          <a:endCxn id="63" idx="1"/>
        </xdr:cNvCxnSpPr>
      </xdr:nvCxnSpPr>
      <xdr:spPr>
        <a:xfrm>
          <a:off x="9382126" y="6375682"/>
          <a:ext cx="37147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171450</xdr:colOff>
      <xdr:row>25</xdr:row>
      <xdr:rowOff>47625</xdr:rowOff>
    </xdr:from>
    <xdr:to>
      <xdr:col>59</xdr:col>
      <xdr:colOff>78207</xdr:colOff>
      <xdr:row>28</xdr:row>
      <xdr:rowOff>146733</xdr:rowOff>
    </xdr:to>
    <xdr:sp macro="" textlink="">
      <xdr:nvSpPr>
        <xdr:cNvPr id="38" name="正方形/長方形 37">
          <a:extLst>
            <a:ext uri="{FF2B5EF4-FFF2-40B4-BE49-F238E27FC236}">
              <a16:creationId xmlns:a16="http://schemas.microsoft.com/office/drawing/2014/main" id="{9FF680F4-DAE0-4D1C-AA07-027E9126A72D}"/>
            </a:ext>
          </a:extLst>
        </xdr:cNvPr>
        <xdr:cNvSpPr/>
      </xdr:nvSpPr>
      <xdr:spPr>
        <a:xfrm>
          <a:off x="12211050" y="4810125"/>
          <a:ext cx="1011657" cy="670608"/>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HPK</a:t>
          </a:r>
          <a:r>
            <a:rPr lang="en-US" altLang="ja-JP" sz="1100">
              <a:solidFill>
                <a:sysClr val="windowText" lastClr="000000"/>
              </a:solidFill>
            </a:rPr>
            <a:t>DB</a:t>
          </a:r>
          <a:endParaRPr lang="en-US" sz="1100">
            <a:solidFill>
              <a:sysClr val="windowText" lastClr="000000"/>
            </a:solidFill>
          </a:endParaRPr>
        </a:p>
      </xdr:txBody>
    </xdr:sp>
    <xdr:clientData/>
  </xdr:twoCellAnchor>
  <xdr:twoCellAnchor>
    <xdr:from>
      <xdr:col>56</xdr:col>
      <xdr:colOff>0</xdr:colOff>
      <xdr:row>26</xdr:row>
      <xdr:rowOff>133350</xdr:rowOff>
    </xdr:from>
    <xdr:to>
      <xdr:col>58</xdr:col>
      <xdr:colOff>14113</xdr:colOff>
      <xdr:row>28</xdr:row>
      <xdr:rowOff>30338</xdr:rowOff>
    </xdr:to>
    <xdr:sp macro="" textlink="">
      <xdr:nvSpPr>
        <xdr:cNvPr id="39" name="四角形: メモ 38">
          <a:extLst>
            <a:ext uri="{FF2B5EF4-FFF2-40B4-BE49-F238E27FC236}">
              <a16:creationId xmlns:a16="http://schemas.microsoft.com/office/drawing/2014/main" id="{C7319B0E-E5FE-4256-8F5B-DC1FB85A9CF5}"/>
            </a:ext>
          </a:extLst>
        </xdr:cNvPr>
        <xdr:cNvSpPr/>
      </xdr:nvSpPr>
      <xdr:spPr>
        <a:xfrm>
          <a:off x="12481560" y="5086350"/>
          <a:ext cx="456073" cy="277988"/>
        </a:xfrm>
        <a:prstGeom prst="foldedCorner">
          <a:avLst>
            <a:gd name="adj" fmla="val 50000"/>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lang="en-US" sz="1100">
            <a:solidFill>
              <a:sysClr val="windowText" lastClr="000000"/>
            </a:solidFill>
          </a:endParaRPr>
        </a:p>
      </xdr:txBody>
    </xdr:sp>
    <xdr:clientData/>
  </xdr:twoCellAnchor>
  <xdr:twoCellAnchor>
    <xdr:from>
      <xdr:col>57</xdr:col>
      <xdr:colOff>15291</xdr:colOff>
      <xdr:row>22</xdr:row>
      <xdr:rowOff>84027</xdr:rowOff>
    </xdr:from>
    <xdr:to>
      <xdr:col>59</xdr:col>
      <xdr:colOff>152401</xdr:colOff>
      <xdr:row>25</xdr:row>
      <xdr:rowOff>47625</xdr:rowOff>
    </xdr:to>
    <xdr:cxnSp macro="">
      <xdr:nvCxnSpPr>
        <xdr:cNvPr id="40" name="コネクタ: カギ線 39">
          <a:extLst>
            <a:ext uri="{FF2B5EF4-FFF2-40B4-BE49-F238E27FC236}">
              <a16:creationId xmlns:a16="http://schemas.microsoft.com/office/drawing/2014/main" id="{84B8BC0D-5E12-47C3-9367-908F33262234}"/>
            </a:ext>
          </a:extLst>
        </xdr:cNvPr>
        <xdr:cNvCxnSpPr>
          <a:stCxn id="38" idx="0"/>
          <a:endCxn id="31" idx="1"/>
        </xdr:cNvCxnSpPr>
      </xdr:nvCxnSpPr>
      <xdr:spPr>
        <a:xfrm rot="5400000" flipH="1" flipV="1">
          <a:off x="12739817" y="4253041"/>
          <a:ext cx="535098" cy="57907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19050</xdr:colOff>
      <xdr:row>62</xdr:row>
      <xdr:rowOff>42863</xdr:rowOff>
    </xdr:from>
    <xdr:to>
      <xdr:col>31</xdr:col>
      <xdr:colOff>19050</xdr:colOff>
      <xdr:row>73</xdr:row>
      <xdr:rowOff>85726</xdr:rowOff>
    </xdr:to>
    <xdr:cxnSp macro="">
      <xdr:nvCxnSpPr>
        <xdr:cNvPr id="41" name="コネクタ: カギ線 40">
          <a:extLst>
            <a:ext uri="{FF2B5EF4-FFF2-40B4-BE49-F238E27FC236}">
              <a16:creationId xmlns:a16="http://schemas.microsoft.com/office/drawing/2014/main" id="{8D41F6FF-892E-41DC-B417-567D96428902}"/>
            </a:ext>
          </a:extLst>
        </xdr:cNvPr>
        <xdr:cNvCxnSpPr>
          <a:cxnSpLocks/>
          <a:stCxn id="42" idx="3"/>
          <a:endCxn id="16" idx="1"/>
        </xdr:cNvCxnSpPr>
      </xdr:nvCxnSpPr>
      <xdr:spPr>
        <a:xfrm>
          <a:off x="5871210" y="8805863"/>
          <a:ext cx="1104900" cy="2138363"/>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66675</xdr:colOff>
      <xdr:row>60</xdr:row>
      <xdr:rowOff>1</xdr:rowOff>
    </xdr:from>
    <xdr:to>
      <xdr:col>26</xdr:col>
      <xdr:colOff>19050</xdr:colOff>
      <xdr:row>64</xdr:row>
      <xdr:rowOff>85725</xdr:rowOff>
    </xdr:to>
    <xdr:sp macro="" textlink="">
      <xdr:nvSpPr>
        <xdr:cNvPr id="42" name="四角形: 角を丸くする 41">
          <a:extLst>
            <a:ext uri="{FF2B5EF4-FFF2-40B4-BE49-F238E27FC236}">
              <a16:creationId xmlns:a16="http://schemas.microsoft.com/office/drawing/2014/main" id="{E1A06EB7-FA1B-4CE2-A7C4-8B5B8398D878}"/>
            </a:ext>
          </a:extLst>
        </xdr:cNvPr>
        <xdr:cNvSpPr/>
      </xdr:nvSpPr>
      <xdr:spPr>
        <a:xfrm>
          <a:off x="4813935" y="8382001"/>
          <a:ext cx="1057275" cy="847724"/>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solidFill>
                <a:schemeClr val="tx1"/>
              </a:solidFill>
              <a:latin typeface="+mn-lt"/>
              <a:ea typeface="+mn-ea"/>
            </a:rPr>
            <a:t>16-1</a:t>
          </a:r>
          <a:r>
            <a:rPr lang="en-US" sz="1100">
              <a:solidFill>
                <a:schemeClr val="tx1"/>
              </a:solidFill>
              <a:effectLst/>
              <a:latin typeface="+mn-lt"/>
              <a:ea typeface="+mn-ea"/>
              <a:cs typeface="+mn-cs"/>
            </a:rPr>
            <a:t>.</a:t>
          </a:r>
          <a:r>
            <a:rPr lang="ja-JP" altLang="en-US" sz="1100">
              <a:solidFill>
                <a:schemeClr val="tx1"/>
              </a:solidFill>
              <a:effectLst/>
              <a:latin typeface="+mn-lt"/>
              <a:ea typeface="+mn-ea"/>
              <a:cs typeface="+mn-cs"/>
            </a:rPr>
            <a:t>ファイルパス定義</a:t>
          </a:r>
          <a:endParaRPr lang="en-US" sz="1100">
            <a:solidFill>
              <a:schemeClr val="tx1"/>
            </a:solidFill>
            <a:latin typeface="+mn-ea"/>
            <a:ea typeface="+mn-ea"/>
          </a:endParaRPr>
        </a:p>
      </xdr:txBody>
    </xdr:sp>
    <xdr:clientData/>
  </xdr:twoCellAnchor>
  <xdr:twoCellAnchor>
    <xdr:from>
      <xdr:col>17</xdr:col>
      <xdr:colOff>95250</xdr:colOff>
      <xdr:row>62</xdr:row>
      <xdr:rowOff>42863</xdr:rowOff>
    </xdr:from>
    <xdr:to>
      <xdr:col>21</xdr:col>
      <xdr:colOff>66675</xdr:colOff>
      <xdr:row>69</xdr:row>
      <xdr:rowOff>95250</xdr:rowOff>
    </xdr:to>
    <xdr:cxnSp macro="">
      <xdr:nvCxnSpPr>
        <xdr:cNvPr id="43" name="コネクタ: カギ線 42">
          <a:extLst>
            <a:ext uri="{FF2B5EF4-FFF2-40B4-BE49-F238E27FC236}">
              <a16:creationId xmlns:a16="http://schemas.microsoft.com/office/drawing/2014/main" id="{84F3AB14-3585-4602-899D-F059ECF5635C}"/>
            </a:ext>
          </a:extLst>
        </xdr:cNvPr>
        <xdr:cNvCxnSpPr>
          <a:cxnSpLocks/>
          <a:stCxn id="19" idx="3"/>
          <a:endCxn id="42" idx="1"/>
        </xdr:cNvCxnSpPr>
      </xdr:nvCxnSpPr>
      <xdr:spPr>
        <a:xfrm flipV="1">
          <a:off x="3958590" y="8805863"/>
          <a:ext cx="855345" cy="1385887"/>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76200</xdr:colOff>
      <xdr:row>74</xdr:row>
      <xdr:rowOff>180975</xdr:rowOff>
    </xdr:from>
    <xdr:to>
      <xdr:col>26</xdr:col>
      <xdr:colOff>0</xdr:colOff>
      <xdr:row>79</xdr:row>
      <xdr:rowOff>9525</xdr:rowOff>
    </xdr:to>
    <xdr:sp macro="" textlink="">
      <xdr:nvSpPr>
        <xdr:cNvPr id="44" name="四角形: 角を丸くする 43">
          <a:extLst>
            <a:ext uri="{FF2B5EF4-FFF2-40B4-BE49-F238E27FC236}">
              <a16:creationId xmlns:a16="http://schemas.microsoft.com/office/drawing/2014/main" id="{C6043DFA-3C39-4E4D-9C54-B84C29705A7D}"/>
            </a:ext>
          </a:extLst>
        </xdr:cNvPr>
        <xdr:cNvSpPr/>
      </xdr:nvSpPr>
      <xdr:spPr>
        <a:xfrm>
          <a:off x="4823460" y="11229975"/>
          <a:ext cx="1028700" cy="781050"/>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atin typeface="+mn-lt"/>
              <a:ea typeface="+mn-ea"/>
            </a:rPr>
            <a:t>16-3</a:t>
          </a:r>
          <a:r>
            <a:rPr lang="en-US" sz="1100">
              <a:latin typeface="+mn-ea"/>
              <a:ea typeface="+mn-ea"/>
            </a:rPr>
            <a:t>.</a:t>
          </a:r>
          <a:r>
            <a:rPr lang="ja-JP" altLang="en-US" sz="1100">
              <a:latin typeface="+mn-ea"/>
              <a:ea typeface="+mn-ea"/>
            </a:rPr>
            <a:t>正常成功ファイル名設定</a:t>
          </a:r>
          <a:endParaRPr lang="en-US" sz="1100">
            <a:latin typeface="+mn-ea"/>
            <a:ea typeface="+mn-ea"/>
          </a:endParaRPr>
        </a:p>
      </xdr:txBody>
    </xdr:sp>
    <xdr:clientData/>
  </xdr:twoCellAnchor>
  <xdr:twoCellAnchor>
    <xdr:from>
      <xdr:col>21</xdr:col>
      <xdr:colOff>57150</xdr:colOff>
      <xdr:row>82</xdr:row>
      <xdr:rowOff>66675</xdr:rowOff>
    </xdr:from>
    <xdr:to>
      <xdr:col>26</xdr:col>
      <xdr:colOff>0</xdr:colOff>
      <xdr:row>86</xdr:row>
      <xdr:rowOff>85725</xdr:rowOff>
    </xdr:to>
    <xdr:sp macro="" textlink="">
      <xdr:nvSpPr>
        <xdr:cNvPr id="45" name="四角形: 角を丸くする 44">
          <a:extLst>
            <a:ext uri="{FF2B5EF4-FFF2-40B4-BE49-F238E27FC236}">
              <a16:creationId xmlns:a16="http://schemas.microsoft.com/office/drawing/2014/main" id="{CC865CCA-6645-4FE0-A575-9FFB4943CCB2}"/>
            </a:ext>
          </a:extLst>
        </xdr:cNvPr>
        <xdr:cNvSpPr/>
      </xdr:nvSpPr>
      <xdr:spPr>
        <a:xfrm>
          <a:off x="4804410" y="12639675"/>
          <a:ext cx="1047750" cy="781050"/>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atin typeface="+mn-lt"/>
              <a:ea typeface="+mn-ea"/>
            </a:rPr>
            <a:t>16-4.</a:t>
          </a:r>
          <a:r>
            <a:rPr lang="ja-JP" altLang="en-US" sz="1100">
              <a:latin typeface="+mn-ea"/>
              <a:ea typeface="+mn-ea"/>
            </a:rPr>
            <a:t>遅延成功ファイル名設定</a:t>
          </a:r>
          <a:endParaRPr lang="en-US" sz="1100">
            <a:latin typeface="+mn-ea"/>
            <a:ea typeface="+mn-ea"/>
          </a:endParaRPr>
        </a:p>
      </xdr:txBody>
    </xdr:sp>
    <xdr:clientData/>
  </xdr:twoCellAnchor>
  <xdr:twoCellAnchor>
    <xdr:from>
      <xdr:col>17</xdr:col>
      <xdr:colOff>95250</xdr:colOff>
      <xdr:row>69</xdr:row>
      <xdr:rowOff>95250</xdr:rowOff>
    </xdr:from>
    <xdr:to>
      <xdr:col>21</xdr:col>
      <xdr:colOff>76200</xdr:colOff>
      <xdr:row>77</xdr:row>
      <xdr:rowOff>0</xdr:rowOff>
    </xdr:to>
    <xdr:cxnSp macro="">
      <xdr:nvCxnSpPr>
        <xdr:cNvPr id="46" name="コネクタ: カギ線 45">
          <a:extLst>
            <a:ext uri="{FF2B5EF4-FFF2-40B4-BE49-F238E27FC236}">
              <a16:creationId xmlns:a16="http://schemas.microsoft.com/office/drawing/2014/main" id="{C1C9D1A8-A51C-4E76-8773-7D4319078BB9}"/>
            </a:ext>
          </a:extLst>
        </xdr:cNvPr>
        <xdr:cNvCxnSpPr>
          <a:cxnSpLocks/>
          <a:stCxn id="19" idx="3"/>
          <a:endCxn id="44" idx="1"/>
        </xdr:cNvCxnSpPr>
      </xdr:nvCxnSpPr>
      <xdr:spPr>
        <a:xfrm>
          <a:off x="3958590" y="10191750"/>
          <a:ext cx="864870" cy="142875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209550</xdr:colOff>
      <xdr:row>28</xdr:row>
      <xdr:rowOff>146733</xdr:rowOff>
    </xdr:from>
    <xdr:to>
      <xdr:col>57</xdr:col>
      <xdr:colOff>15291</xdr:colOff>
      <xdr:row>73</xdr:row>
      <xdr:rowOff>87502</xdr:rowOff>
    </xdr:to>
    <xdr:cxnSp macro="">
      <xdr:nvCxnSpPr>
        <xdr:cNvPr id="47" name="コネクタ: カギ線 46">
          <a:extLst>
            <a:ext uri="{FF2B5EF4-FFF2-40B4-BE49-F238E27FC236}">
              <a16:creationId xmlns:a16="http://schemas.microsoft.com/office/drawing/2014/main" id="{2DFFDB12-D0B1-433D-A268-BC22F4A34400}"/>
            </a:ext>
          </a:extLst>
        </xdr:cNvPr>
        <xdr:cNvCxnSpPr>
          <a:cxnSpLocks/>
          <a:stCxn id="34" idx="3"/>
          <a:endCxn id="38" idx="2"/>
        </xdr:cNvCxnSpPr>
      </xdr:nvCxnSpPr>
      <xdr:spPr>
        <a:xfrm flipV="1">
          <a:off x="9525000" y="5480733"/>
          <a:ext cx="3091866" cy="851326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142875</xdr:colOff>
      <xdr:row>17</xdr:row>
      <xdr:rowOff>95250</xdr:rowOff>
    </xdr:from>
    <xdr:to>
      <xdr:col>28</xdr:col>
      <xdr:colOff>150637</xdr:colOff>
      <xdr:row>21</xdr:row>
      <xdr:rowOff>9525</xdr:rowOff>
    </xdr:to>
    <xdr:sp macro="" textlink="">
      <xdr:nvSpPr>
        <xdr:cNvPr id="51" name="四角形: 角を丸くする 50">
          <a:extLst>
            <a:ext uri="{FF2B5EF4-FFF2-40B4-BE49-F238E27FC236}">
              <a16:creationId xmlns:a16="http://schemas.microsoft.com/office/drawing/2014/main" id="{E720B43F-91D3-417C-9857-4DCDF63D0C63}"/>
            </a:ext>
          </a:extLst>
        </xdr:cNvPr>
        <xdr:cNvSpPr/>
      </xdr:nvSpPr>
      <xdr:spPr>
        <a:xfrm>
          <a:off x="5332095" y="3333750"/>
          <a:ext cx="1112662" cy="676275"/>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3</a:t>
          </a:r>
          <a:r>
            <a:rPr lang="en-US" sz="1000"/>
            <a:t>.</a:t>
          </a:r>
          <a:r>
            <a:rPr lang="en-US" sz="1100"/>
            <a:t>VM</a:t>
          </a:r>
          <a:r>
            <a:rPr lang="ja-JP" altLang="en-US" sz="1100"/>
            <a:t>からパラメータ取得</a:t>
          </a:r>
          <a:endParaRPr lang="en-US" sz="1100"/>
        </a:p>
      </xdr:txBody>
    </xdr:sp>
    <xdr:clientData/>
  </xdr:twoCellAnchor>
  <xdr:twoCellAnchor>
    <xdr:from>
      <xdr:col>21</xdr:col>
      <xdr:colOff>115711</xdr:colOff>
      <xdr:row>19</xdr:row>
      <xdr:rowOff>49390</xdr:rowOff>
    </xdr:from>
    <xdr:to>
      <xdr:col>23</xdr:col>
      <xdr:colOff>142875</xdr:colOff>
      <xdr:row>19</xdr:row>
      <xdr:rowOff>52388</xdr:rowOff>
    </xdr:to>
    <xdr:cxnSp macro="">
      <xdr:nvCxnSpPr>
        <xdr:cNvPr id="52" name="直線矢印コネクタ 51">
          <a:extLst>
            <a:ext uri="{FF2B5EF4-FFF2-40B4-BE49-F238E27FC236}">
              <a16:creationId xmlns:a16="http://schemas.microsoft.com/office/drawing/2014/main" id="{5C75AEE9-EDC3-481B-985C-70235331C8C6}"/>
            </a:ext>
          </a:extLst>
        </xdr:cNvPr>
        <xdr:cNvCxnSpPr>
          <a:stCxn id="5" idx="3"/>
          <a:endCxn id="51" idx="1"/>
        </xdr:cNvCxnSpPr>
      </xdr:nvCxnSpPr>
      <xdr:spPr>
        <a:xfrm>
          <a:off x="4862971" y="3668890"/>
          <a:ext cx="469124" cy="299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171450</xdr:colOff>
      <xdr:row>17</xdr:row>
      <xdr:rowOff>76200</xdr:rowOff>
    </xdr:from>
    <xdr:to>
      <xdr:col>35</xdr:col>
      <xdr:colOff>179212</xdr:colOff>
      <xdr:row>21</xdr:row>
      <xdr:rowOff>28575</xdr:rowOff>
    </xdr:to>
    <xdr:sp macro="" textlink="">
      <xdr:nvSpPr>
        <xdr:cNvPr id="53" name="四角形: 角を丸くする 52">
          <a:extLst>
            <a:ext uri="{FF2B5EF4-FFF2-40B4-BE49-F238E27FC236}">
              <a16:creationId xmlns:a16="http://schemas.microsoft.com/office/drawing/2014/main" id="{7E46B161-A426-4A26-9EF5-15CBF05B1681}"/>
            </a:ext>
          </a:extLst>
        </xdr:cNvPr>
        <xdr:cNvSpPr/>
      </xdr:nvSpPr>
      <xdr:spPr>
        <a:xfrm>
          <a:off x="6907530" y="3314700"/>
          <a:ext cx="1112662" cy="714375"/>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4</a:t>
          </a:r>
          <a:r>
            <a:rPr lang="en-US" sz="1000"/>
            <a:t>.</a:t>
          </a:r>
          <a:r>
            <a:rPr lang="ja-JP" altLang="en-US" sz="1100"/>
            <a:t>処理ルート分岐</a:t>
          </a:r>
          <a:endParaRPr lang="en-US" sz="1100"/>
        </a:p>
      </xdr:txBody>
    </xdr:sp>
    <xdr:clientData/>
  </xdr:twoCellAnchor>
  <xdr:twoCellAnchor>
    <xdr:from>
      <xdr:col>28</xdr:col>
      <xdr:colOff>150637</xdr:colOff>
      <xdr:row>19</xdr:row>
      <xdr:rowOff>52388</xdr:rowOff>
    </xdr:from>
    <xdr:to>
      <xdr:col>30</xdr:col>
      <xdr:colOff>171450</xdr:colOff>
      <xdr:row>19</xdr:row>
      <xdr:rowOff>52388</xdr:rowOff>
    </xdr:to>
    <xdr:cxnSp macro="">
      <xdr:nvCxnSpPr>
        <xdr:cNvPr id="54" name="直線矢印コネクタ 53">
          <a:extLst>
            <a:ext uri="{FF2B5EF4-FFF2-40B4-BE49-F238E27FC236}">
              <a16:creationId xmlns:a16="http://schemas.microsoft.com/office/drawing/2014/main" id="{E9E50EC2-0612-4D8D-B944-BF550D6042BE}"/>
            </a:ext>
          </a:extLst>
        </xdr:cNvPr>
        <xdr:cNvCxnSpPr>
          <a:stCxn id="51" idx="3"/>
          <a:endCxn id="53" idx="1"/>
        </xdr:cNvCxnSpPr>
      </xdr:nvCxnSpPr>
      <xdr:spPr>
        <a:xfrm>
          <a:off x="6444757" y="3671888"/>
          <a:ext cx="46277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xdr:colOff>
      <xdr:row>21</xdr:row>
      <xdr:rowOff>28575</xdr:rowOff>
    </xdr:from>
    <xdr:to>
      <xdr:col>33</xdr:col>
      <xdr:colOff>65795</xdr:colOff>
      <xdr:row>24</xdr:row>
      <xdr:rowOff>38100</xdr:rowOff>
    </xdr:to>
    <xdr:cxnSp macro="">
      <xdr:nvCxnSpPr>
        <xdr:cNvPr id="55" name="コネクタ: カギ線 54">
          <a:extLst>
            <a:ext uri="{FF2B5EF4-FFF2-40B4-BE49-F238E27FC236}">
              <a16:creationId xmlns:a16="http://schemas.microsoft.com/office/drawing/2014/main" id="{E2A8F4CE-8836-4140-8341-F8F9F2C58F84}"/>
            </a:ext>
          </a:extLst>
        </xdr:cNvPr>
        <xdr:cNvCxnSpPr>
          <a:cxnSpLocks/>
          <a:stCxn id="53" idx="2"/>
          <a:endCxn id="69" idx="0"/>
        </xdr:cNvCxnSpPr>
      </xdr:nvCxnSpPr>
      <xdr:spPr>
        <a:xfrm rot="5400000">
          <a:off x="6809935" y="3955221"/>
          <a:ext cx="581025" cy="72873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65793</xdr:colOff>
      <xdr:row>21</xdr:row>
      <xdr:rowOff>28575</xdr:rowOff>
    </xdr:from>
    <xdr:to>
      <xdr:col>37</xdr:col>
      <xdr:colOff>104774</xdr:colOff>
      <xdr:row>24</xdr:row>
      <xdr:rowOff>47625</xdr:rowOff>
    </xdr:to>
    <xdr:cxnSp macro="">
      <xdr:nvCxnSpPr>
        <xdr:cNvPr id="56" name="コネクタ: カギ線 55">
          <a:extLst>
            <a:ext uri="{FF2B5EF4-FFF2-40B4-BE49-F238E27FC236}">
              <a16:creationId xmlns:a16="http://schemas.microsoft.com/office/drawing/2014/main" id="{4FE121D1-EA61-4439-8307-ECC9C55B6CD5}"/>
            </a:ext>
          </a:extLst>
        </xdr:cNvPr>
        <xdr:cNvCxnSpPr>
          <a:cxnSpLocks/>
          <a:stCxn id="53" idx="2"/>
        </xdr:cNvCxnSpPr>
      </xdr:nvCxnSpPr>
      <xdr:spPr>
        <a:xfrm rot="16200000" flipH="1">
          <a:off x="7630989" y="3862899"/>
          <a:ext cx="590550" cy="922901"/>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75142</xdr:colOff>
      <xdr:row>27</xdr:row>
      <xdr:rowOff>104775</xdr:rowOff>
    </xdr:from>
    <xdr:to>
      <xdr:col>30</xdr:col>
      <xdr:colOff>0</xdr:colOff>
      <xdr:row>47</xdr:row>
      <xdr:rowOff>104775</xdr:rowOff>
    </xdr:to>
    <xdr:cxnSp macro="">
      <xdr:nvCxnSpPr>
        <xdr:cNvPr id="57" name="コネクタ: カギ線 56">
          <a:extLst>
            <a:ext uri="{FF2B5EF4-FFF2-40B4-BE49-F238E27FC236}">
              <a16:creationId xmlns:a16="http://schemas.microsoft.com/office/drawing/2014/main" id="{84622AA9-093D-4B06-9BB5-2CC455E5D496}"/>
            </a:ext>
          </a:extLst>
        </xdr:cNvPr>
        <xdr:cNvCxnSpPr>
          <a:cxnSpLocks/>
          <a:stCxn id="69" idx="2"/>
          <a:endCxn id="22" idx="0"/>
        </xdr:cNvCxnSpPr>
      </xdr:nvCxnSpPr>
      <xdr:spPr>
        <a:xfrm rot="5400000">
          <a:off x="3935201" y="3209396"/>
          <a:ext cx="762000" cy="4839758"/>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7941</xdr:colOff>
      <xdr:row>41</xdr:row>
      <xdr:rowOff>157162</xdr:rowOff>
    </xdr:from>
    <xdr:to>
      <xdr:col>34</xdr:col>
      <xdr:colOff>209550</xdr:colOff>
      <xdr:row>47</xdr:row>
      <xdr:rowOff>136527</xdr:rowOff>
    </xdr:to>
    <xdr:cxnSp macro="">
      <xdr:nvCxnSpPr>
        <xdr:cNvPr id="58" name="コネクタ: カギ線 57">
          <a:extLst>
            <a:ext uri="{FF2B5EF4-FFF2-40B4-BE49-F238E27FC236}">
              <a16:creationId xmlns:a16="http://schemas.microsoft.com/office/drawing/2014/main" id="{04517476-5E73-47F3-9B79-A454D23055D7}"/>
            </a:ext>
          </a:extLst>
        </xdr:cNvPr>
        <xdr:cNvCxnSpPr>
          <a:cxnSpLocks/>
          <a:stCxn id="95" idx="1"/>
          <a:endCxn id="29" idx="0"/>
        </xdr:cNvCxnSpPr>
      </xdr:nvCxnSpPr>
      <xdr:spPr>
        <a:xfrm rot="10800000" flipV="1">
          <a:off x="4722816" y="7967662"/>
          <a:ext cx="3049584" cy="112236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142875</xdr:colOff>
      <xdr:row>61</xdr:row>
      <xdr:rowOff>152400</xdr:rowOff>
    </xdr:from>
    <xdr:to>
      <xdr:col>9</xdr:col>
      <xdr:colOff>190500</xdr:colOff>
      <xdr:row>65</xdr:row>
      <xdr:rowOff>133350</xdr:rowOff>
    </xdr:to>
    <xdr:sp macro="" textlink="">
      <xdr:nvSpPr>
        <xdr:cNvPr id="59" name="四角形: 角を丸くする 58">
          <a:extLst>
            <a:ext uri="{FF2B5EF4-FFF2-40B4-BE49-F238E27FC236}">
              <a16:creationId xmlns:a16="http://schemas.microsoft.com/office/drawing/2014/main" id="{05327820-FD18-4C2C-995B-5AE13CD0F0C7}"/>
            </a:ext>
          </a:extLst>
        </xdr:cNvPr>
        <xdr:cNvSpPr/>
      </xdr:nvSpPr>
      <xdr:spPr>
        <a:xfrm>
          <a:off x="1247775" y="8724900"/>
          <a:ext cx="984885" cy="742950"/>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atin typeface="+mn-lt"/>
              <a:ea typeface="+mn-ea"/>
            </a:rPr>
            <a:t>13</a:t>
          </a:r>
          <a:r>
            <a:rPr lang="en-US" sz="1100">
              <a:latin typeface="+mn-ea"/>
              <a:ea typeface="+mn-ea"/>
            </a:rPr>
            <a:t>.</a:t>
          </a:r>
          <a:r>
            <a:rPr lang="ja-JP" altLang="en-US" sz="1100">
              <a:latin typeface="+mn-ea"/>
              <a:ea typeface="+mn-ea"/>
            </a:rPr>
            <a:t>データを分ける処理</a:t>
          </a:r>
          <a:endParaRPr lang="en-US" sz="1100">
            <a:latin typeface="+mn-ea"/>
            <a:ea typeface="+mn-ea"/>
          </a:endParaRPr>
        </a:p>
      </xdr:txBody>
    </xdr:sp>
    <xdr:clientData/>
  </xdr:twoCellAnchor>
  <xdr:twoCellAnchor>
    <xdr:from>
      <xdr:col>7</xdr:col>
      <xdr:colOff>188560</xdr:colOff>
      <xdr:row>65</xdr:row>
      <xdr:rowOff>133350</xdr:rowOff>
    </xdr:from>
    <xdr:to>
      <xdr:col>7</xdr:col>
      <xdr:colOff>195263</xdr:colOff>
      <xdr:row>67</xdr:row>
      <xdr:rowOff>76200</xdr:rowOff>
    </xdr:to>
    <xdr:cxnSp macro="">
      <xdr:nvCxnSpPr>
        <xdr:cNvPr id="60" name="直線矢印コネクタ 59">
          <a:extLst>
            <a:ext uri="{FF2B5EF4-FFF2-40B4-BE49-F238E27FC236}">
              <a16:creationId xmlns:a16="http://schemas.microsoft.com/office/drawing/2014/main" id="{5A787DBB-D353-4BE1-9D41-594885B96602}"/>
            </a:ext>
          </a:extLst>
        </xdr:cNvPr>
        <xdr:cNvCxnSpPr>
          <a:stCxn id="59" idx="2"/>
          <a:endCxn id="15" idx="0"/>
        </xdr:cNvCxnSpPr>
      </xdr:nvCxnSpPr>
      <xdr:spPr>
        <a:xfrm flipH="1">
          <a:off x="1735420" y="9467850"/>
          <a:ext cx="6703" cy="3238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95250</xdr:colOff>
      <xdr:row>69</xdr:row>
      <xdr:rowOff>95250</xdr:rowOff>
    </xdr:from>
    <xdr:to>
      <xdr:col>21</xdr:col>
      <xdr:colOff>57150</xdr:colOff>
      <xdr:row>84</xdr:row>
      <xdr:rowOff>76200</xdr:rowOff>
    </xdr:to>
    <xdr:cxnSp macro="">
      <xdr:nvCxnSpPr>
        <xdr:cNvPr id="61" name="コネクタ: カギ線 60">
          <a:extLst>
            <a:ext uri="{FF2B5EF4-FFF2-40B4-BE49-F238E27FC236}">
              <a16:creationId xmlns:a16="http://schemas.microsoft.com/office/drawing/2014/main" id="{2049BE7C-AE7F-4FC2-A86E-0FD708D4B9A1}"/>
            </a:ext>
          </a:extLst>
        </xdr:cNvPr>
        <xdr:cNvCxnSpPr>
          <a:cxnSpLocks/>
          <a:stCxn id="19" idx="3"/>
          <a:endCxn id="45" idx="1"/>
        </xdr:cNvCxnSpPr>
      </xdr:nvCxnSpPr>
      <xdr:spPr>
        <a:xfrm>
          <a:off x="3958590" y="10191750"/>
          <a:ext cx="845820" cy="283845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195263</xdr:colOff>
      <xdr:row>51</xdr:row>
      <xdr:rowOff>45015</xdr:rowOff>
    </xdr:from>
    <xdr:to>
      <xdr:col>32</xdr:col>
      <xdr:colOff>210079</xdr:colOff>
      <xdr:row>61</xdr:row>
      <xdr:rowOff>152401</xdr:rowOff>
    </xdr:to>
    <xdr:cxnSp macro="">
      <xdr:nvCxnSpPr>
        <xdr:cNvPr id="62" name="コネクタ: カギ線 61">
          <a:extLst>
            <a:ext uri="{FF2B5EF4-FFF2-40B4-BE49-F238E27FC236}">
              <a16:creationId xmlns:a16="http://schemas.microsoft.com/office/drawing/2014/main" id="{8FF9A499-8E07-465D-9209-0974946A99E4}"/>
            </a:ext>
          </a:extLst>
        </xdr:cNvPr>
        <xdr:cNvCxnSpPr>
          <a:stCxn id="82" idx="2"/>
          <a:endCxn id="59" idx="0"/>
        </xdr:cNvCxnSpPr>
      </xdr:nvCxnSpPr>
      <xdr:spPr>
        <a:xfrm rot="5400000">
          <a:off x="3525591" y="7963712"/>
          <a:ext cx="2012386" cy="5605991"/>
        </a:xfrm>
        <a:prstGeom prst="bentConnector3">
          <a:avLst>
            <a:gd name="adj1" fmla="val 35327"/>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0</xdr:colOff>
      <xdr:row>47</xdr:row>
      <xdr:rowOff>133350</xdr:rowOff>
    </xdr:from>
    <xdr:to>
      <xdr:col>49</xdr:col>
      <xdr:colOff>85726</xdr:colOff>
      <xdr:row>51</xdr:row>
      <xdr:rowOff>45013</xdr:rowOff>
    </xdr:to>
    <xdr:sp macro="" textlink="">
      <xdr:nvSpPr>
        <xdr:cNvPr id="63" name="四角形: 角を丸くする 62">
          <a:extLst>
            <a:ext uri="{FF2B5EF4-FFF2-40B4-BE49-F238E27FC236}">
              <a16:creationId xmlns:a16="http://schemas.microsoft.com/office/drawing/2014/main" id="{66A40C63-0922-4400-A178-E32150263D43}"/>
            </a:ext>
          </a:extLst>
        </xdr:cNvPr>
        <xdr:cNvSpPr/>
      </xdr:nvSpPr>
      <xdr:spPr>
        <a:xfrm>
          <a:off x="9753600" y="6038850"/>
          <a:ext cx="1181101" cy="673663"/>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solidFill>
                <a:srgbClr val="FF0000"/>
              </a:solidFill>
              <a:effectLst/>
              <a:latin typeface="+mn-lt"/>
              <a:ea typeface="+mn-ea"/>
              <a:cs typeface="+mn-cs"/>
            </a:rPr>
            <a:t>12-2</a:t>
          </a:r>
          <a:r>
            <a:rPr lang="en-US" sz="1100">
              <a:solidFill>
                <a:srgbClr val="FF0000"/>
              </a:solidFill>
              <a:latin typeface="+mn-ea"/>
              <a:ea typeface="+mn-ea"/>
            </a:rPr>
            <a:t>.</a:t>
          </a:r>
          <a:r>
            <a:rPr lang="ja-JP" altLang="ja-JP" sz="1100">
              <a:solidFill>
                <a:srgbClr val="FF0000"/>
              </a:solidFill>
              <a:effectLst/>
              <a:latin typeface="+mn-lt"/>
              <a:ea typeface="+mn-ea"/>
              <a:cs typeface="+mn-cs"/>
            </a:rPr>
            <a:t>正常レスポンス作成</a:t>
          </a:r>
          <a:endParaRPr lang="en-US" sz="1100">
            <a:solidFill>
              <a:srgbClr val="FF0000"/>
            </a:solidFill>
            <a:latin typeface="+mn-ea"/>
            <a:ea typeface="+mn-ea"/>
          </a:endParaRPr>
        </a:p>
      </xdr:txBody>
    </xdr:sp>
    <xdr:clientData/>
  </xdr:twoCellAnchor>
  <xdr:twoCellAnchor>
    <xdr:from>
      <xdr:col>50</xdr:col>
      <xdr:colOff>209550</xdr:colOff>
      <xdr:row>47</xdr:row>
      <xdr:rowOff>133350</xdr:rowOff>
    </xdr:from>
    <xdr:to>
      <xdr:col>56</xdr:col>
      <xdr:colOff>76201</xdr:colOff>
      <xdr:row>51</xdr:row>
      <xdr:rowOff>45013</xdr:rowOff>
    </xdr:to>
    <xdr:sp macro="" textlink="">
      <xdr:nvSpPr>
        <xdr:cNvPr id="64" name="四角形: 角を丸くする 63">
          <a:extLst>
            <a:ext uri="{FF2B5EF4-FFF2-40B4-BE49-F238E27FC236}">
              <a16:creationId xmlns:a16="http://schemas.microsoft.com/office/drawing/2014/main" id="{85DC63F2-903D-4BFC-8D9D-215A893EFAD7}"/>
            </a:ext>
          </a:extLst>
        </xdr:cNvPr>
        <xdr:cNvSpPr/>
      </xdr:nvSpPr>
      <xdr:spPr>
        <a:xfrm>
          <a:off x="11277600" y="6038850"/>
          <a:ext cx="1181101" cy="673663"/>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solidFill>
                <a:schemeClr val="dk1"/>
              </a:solidFill>
              <a:effectLst/>
              <a:latin typeface="+mn-lt"/>
              <a:ea typeface="+mn-ea"/>
              <a:cs typeface="+mn-cs"/>
            </a:rPr>
            <a:t>12-3</a:t>
          </a:r>
          <a:r>
            <a:rPr lang="en-US" sz="1100">
              <a:latin typeface="+mn-ea"/>
              <a:ea typeface="+mn-ea"/>
            </a:rPr>
            <a:t>.</a:t>
          </a:r>
          <a:r>
            <a:rPr lang="ja-JP" altLang="en-US" sz="1100">
              <a:latin typeface="+mn-ea"/>
              <a:ea typeface="+mn-ea"/>
            </a:rPr>
            <a:t>終了処理</a:t>
          </a:r>
          <a:endParaRPr lang="en-US" sz="1100">
            <a:latin typeface="+mn-ea"/>
            <a:ea typeface="+mn-ea"/>
          </a:endParaRPr>
        </a:p>
      </xdr:txBody>
    </xdr:sp>
    <xdr:clientData/>
  </xdr:twoCellAnchor>
  <xdr:twoCellAnchor>
    <xdr:from>
      <xdr:col>49</xdr:col>
      <xdr:colOff>85726</xdr:colOff>
      <xdr:row>49</xdr:row>
      <xdr:rowOff>89182</xdr:rowOff>
    </xdr:from>
    <xdr:to>
      <xdr:col>50</xdr:col>
      <xdr:colOff>209550</xdr:colOff>
      <xdr:row>49</xdr:row>
      <xdr:rowOff>89182</xdr:rowOff>
    </xdr:to>
    <xdr:cxnSp macro="">
      <xdr:nvCxnSpPr>
        <xdr:cNvPr id="65" name="直線矢印コネクタ 64">
          <a:extLst>
            <a:ext uri="{FF2B5EF4-FFF2-40B4-BE49-F238E27FC236}">
              <a16:creationId xmlns:a16="http://schemas.microsoft.com/office/drawing/2014/main" id="{209CE313-25B5-48F6-A057-342A7AAD73CC}"/>
            </a:ext>
          </a:extLst>
        </xdr:cNvPr>
        <xdr:cNvCxnSpPr>
          <a:stCxn id="63" idx="3"/>
          <a:endCxn id="64" idx="1"/>
        </xdr:cNvCxnSpPr>
      </xdr:nvCxnSpPr>
      <xdr:spPr>
        <a:xfrm>
          <a:off x="10934701" y="6375682"/>
          <a:ext cx="342899"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152399</xdr:colOff>
      <xdr:row>46</xdr:row>
      <xdr:rowOff>161924</xdr:rowOff>
    </xdr:from>
    <xdr:to>
      <xdr:col>17</xdr:col>
      <xdr:colOff>95249</xdr:colOff>
      <xdr:row>52</xdr:row>
      <xdr:rowOff>19049</xdr:rowOff>
    </xdr:to>
    <xdr:sp macro="" textlink="">
      <xdr:nvSpPr>
        <xdr:cNvPr id="66" name="四角形: 角を丸くする 65">
          <a:extLst>
            <a:ext uri="{FF2B5EF4-FFF2-40B4-BE49-F238E27FC236}">
              <a16:creationId xmlns:a16="http://schemas.microsoft.com/office/drawing/2014/main" id="{D6274968-63FF-4837-B8E2-FAD113B6F1FA}"/>
            </a:ext>
          </a:extLst>
        </xdr:cNvPr>
        <xdr:cNvSpPr/>
      </xdr:nvSpPr>
      <xdr:spPr>
        <a:xfrm>
          <a:off x="2838449" y="5876924"/>
          <a:ext cx="1095375" cy="1000125"/>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8.</a:t>
          </a:r>
          <a:r>
            <a:rPr lang="ja-JP" altLang="en-US" sz="1100">
              <a:solidFill>
                <a:schemeClr val="dk1"/>
              </a:solidFill>
              <a:effectLst/>
              <a:latin typeface="+mn-lt"/>
              <a:ea typeface="+mn-ea"/>
              <a:cs typeface="+mn-cs"/>
            </a:rPr>
            <a:t>出荷伝票情報及びキスト情報と名称の編集</a:t>
          </a:r>
          <a:endParaRPr lang="en-US" sz="1100"/>
        </a:p>
      </xdr:txBody>
    </xdr:sp>
    <xdr:clientData/>
  </xdr:twoCellAnchor>
  <xdr:twoCellAnchor>
    <xdr:from>
      <xdr:col>11</xdr:col>
      <xdr:colOff>7409</xdr:colOff>
      <xdr:row>49</xdr:row>
      <xdr:rowOff>85727</xdr:rowOff>
    </xdr:from>
    <xdr:to>
      <xdr:col>12</xdr:col>
      <xdr:colOff>152399</xdr:colOff>
      <xdr:row>49</xdr:row>
      <xdr:rowOff>90487</xdr:rowOff>
    </xdr:to>
    <xdr:cxnSp macro="">
      <xdr:nvCxnSpPr>
        <xdr:cNvPr id="67" name="直線矢印コネクタ 66">
          <a:extLst>
            <a:ext uri="{FF2B5EF4-FFF2-40B4-BE49-F238E27FC236}">
              <a16:creationId xmlns:a16="http://schemas.microsoft.com/office/drawing/2014/main" id="{C9FDE255-43FD-4D3D-BE61-619739419D75}"/>
            </a:ext>
          </a:extLst>
        </xdr:cNvPr>
        <xdr:cNvCxnSpPr>
          <a:cxnSpLocks/>
          <a:stCxn id="22" idx="3"/>
          <a:endCxn id="66" idx="1"/>
        </xdr:cNvCxnSpPr>
      </xdr:nvCxnSpPr>
      <xdr:spPr>
        <a:xfrm>
          <a:off x="2474384" y="6372227"/>
          <a:ext cx="364065" cy="47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66675</xdr:colOff>
      <xdr:row>24</xdr:row>
      <xdr:rowOff>38100</xdr:rowOff>
    </xdr:from>
    <xdr:to>
      <xdr:col>32</xdr:col>
      <xdr:colOff>152400</xdr:colOff>
      <xdr:row>27</xdr:row>
      <xdr:rowOff>104775</xdr:rowOff>
    </xdr:to>
    <xdr:sp macro="" textlink="">
      <xdr:nvSpPr>
        <xdr:cNvPr id="69" name="四角形: 角を丸くする 68">
          <a:extLst>
            <a:ext uri="{FF2B5EF4-FFF2-40B4-BE49-F238E27FC236}">
              <a16:creationId xmlns:a16="http://schemas.microsoft.com/office/drawing/2014/main" id="{E4C8B7FB-B44B-4170-8172-160B1B3A8454}"/>
            </a:ext>
          </a:extLst>
        </xdr:cNvPr>
        <xdr:cNvSpPr/>
      </xdr:nvSpPr>
      <xdr:spPr>
        <a:xfrm>
          <a:off x="6139815" y="4610100"/>
          <a:ext cx="1190625" cy="638175"/>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5.</a:t>
          </a:r>
          <a:r>
            <a:rPr lang="ja-JP" altLang="en-US" sz="1100">
              <a:solidFill>
                <a:schemeClr val="dk1"/>
              </a:solidFill>
              <a:effectLst/>
              <a:latin typeface="+mn-lt"/>
              <a:ea typeface="+mn-ea"/>
              <a:cs typeface="+mn-cs"/>
            </a:rPr>
            <a:t>前回タイムスタンプ取得</a:t>
          </a:r>
          <a:endParaRPr lang="ja-JP" altLang="ja-JP">
            <a:effectLst/>
          </a:endParaRPr>
        </a:p>
        <a:p>
          <a:pPr algn="ctr"/>
          <a:endParaRPr lang="en-US" sz="1100"/>
        </a:p>
      </xdr:txBody>
    </xdr:sp>
    <xdr:clientData/>
  </xdr:twoCellAnchor>
  <xdr:twoCellAnchor>
    <xdr:from>
      <xdr:col>10</xdr:col>
      <xdr:colOff>25753</xdr:colOff>
      <xdr:row>69</xdr:row>
      <xdr:rowOff>95250</xdr:rowOff>
    </xdr:from>
    <xdr:to>
      <xdr:col>12</xdr:col>
      <xdr:colOff>57150</xdr:colOff>
      <xdr:row>69</xdr:row>
      <xdr:rowOff>100013</xdr:rowOff>
    </xdr:to>
    <xdr:cxnSp macro="">
      <xdr:nvCxnSpPr>
        <xdr:cNvPr id="70" name="直線矢印コネクタ 69">
          <a:extLst>
            <a:ext uri="{FF2B5EF4-FFF2-40B4-BE49-F238E27FC236}">
              <a16:creationId xmlns:a16="http://schemas.microsoft.com/office/drawing/2014/main" id="{890313B3-D484-42A7-A47D-C78CDFBE0E45}"/>
            </a:ext>
          </a:extLst>
        </xdr:cNvPr>
        <xdr:cNvCxnSpPr>
          <a:cxnSpLocks/>
          <a:stCxn id="15" idx="3"/>
          <a:endCxn id="19" idx="1"/>
        </xdr:cNvCxnSpPr>
      </xdr:nvCxnSpPr>
      <xdr:spPr>
        <a:xfrm flipV="1">
          <a:off x="2288893" y="10191750"/>
          <a:ext cx="473357" cy="476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95250</xdr:colOff>
      <xdr:row>69</xdr:row>
      <xdr:rowOff>95250</xdr:rowOff>
    </xdr:from>
    <xdr:to>
      <xdr:col>21</xdr:col>
      <xdr:colOff>38099</xdr:colOff>
      <xdr:row>69</xdr:row>
      <xdr:rowOff>95250</xdr:rowOff>
    </xdr:to>
    <xdr:cxnSp macro="">
      <xdr:nvCxnSpPr>
        <xdr:cNvPr id="71" name="直線矢印コネクタ 70">
          <a:extLst>
            <a:ext uri="{FF2B5EF4-FFF2-40B4-BE49-F238E27FC236}">
              <a16:creationId xmlns:a16="http://schemas.microsoft.com/office/drawing/2014/main" id="{53F824C2-9218-4F42-83FB-CA505C6983E9}"/>
            </a:ext>
          </a:extLst>
        </xdr:cNvPr>
        <xdr:cNvCxnSpPr>
          <a:stCxn id="19" idx="3"/>
          <a:endCxn id="20" idx="1"/>
        </xdr:cNvCxnSpPr>
      </xdr:nvCxnSpPr>
      <xdr:spPr>
        <a:xfrm>
          <a:off x="3958590" y="10191750"/>
          <a:ext cx="826769"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28575</xdr:colOff>
      <xdr:row>69</xdr:row>
      <xdr:rowOff>95250</xdr:rowOff>
    </xdr:from>
    <xdr:to>
      <xdr:col>31</xdr:col>
      <xdr:colOff>19050</xdr:colOff>
      <xdr:row>73</xdr:row>
      <xdr:rowOff>85726</xdr:rowOff>
    </xdr:to>
    <xdr:cxnSp macro="">
      <xdr:nvCxnSpPr>
        <xdr:cNvPr id="72" name="コネクタ: カギ線 71">
          <a:extLst>
            <a:ext uri="{FF2B5EF4-FFF2-40B4-BE49-F238E27FC236}">
              <a16:creationId xmlns:a16="http://schemas.microsoft.com/office/drawing/2014/main" id="{905E56EF-340D-401C-8631-C87FF5D22C2E}"/>
            </a:ext>
          </a:extLst>
        </xdr:cNvPr>
        <xdr:cNvCxnSpPr>
          <a:stCxn id="20" idx="3"/>
          <a:endCxn id="16" idx="1"/>
        </xdr:cNvCxnSpPr>
      </xdr:nvCxnSpPr>
      <xdr:spPr>
        <a:xfrm>
          <a:off x="5880735" y="10191750"/>
          <a:ext cx="1095375" cy="752476"/>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0</xdr:colOff>
      <xdr:row>73</xdr:row>
      <xdr:rowOff>85726</xdr:rowOff>
    </xdr:from>
    <xdr:to>
      <xdr:col>31</xdr:col>
      <xdr:colOff>19050</xdr:colOff>
      <xdr:row>77</xdr:row>
      <xdr:rowOff>0</xdr:rowOff>
    </xdr:to>
    <xdr:cxnSp macro="">
      <xdr:nvCxnSpPr>
        <xdr:cNvPr id="73" name="コネクタ: カギ線 72">
          <a:extLst>
            <a:ext uri="{FF2B5EF4-FFF2-40B4-BE49-F238E27FC236}">
              <a16:creationId xmlns:a16="http://schemas.microsoft.com/office/drawing/2014/main" id="{4FC558EE-DDD3-46EC-AEA2-4E7534F537C7}"/>
            </a:ext>
          </a:extLst>
        </xdr:cNvPr>
        <xdr:cNvCxnSpPr>
          <a:stCxn id="44" idx="3"/>
          <a:endCxn id="16" idx="1"/>
        </xdr:cNvCxnSpPr>
      </xdr:nvCxnSpPr>
      <xdr:spPr>
        <a:xfrm flipV="1">
          <a:off x="5852160" y="10944226"/>
          <a:ext cx="1123950" cy="67627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0</xdr:colOff>
      <xdr:row>73</xdr:row>
      <xdr:rowOff>85726</xdr:rowOff>
    </xdr:from>
    <xdr:to>
      <xdr:col>31</xdr:col>
      <xdr:colOff>19050</xdr:colOff>
      <xdr:row>84</xdr:row>
      <xdr:rowOff>76200</xdr:rowOff>
    </xdr:to>
    <xdr:cxnSp macro="">
      <xdr:nvCxnSpPr>
        <xdr:cNvPr id="74" name="コネクタ: カギ線 73">
          <a:extLst>
            <a:ext uri="{FF2B5EF4-FFF2-40B4-BE49-F238E27FC236}">
              <a16:creationId xmlns:a16="http://schemas.microsoft.com/office/drawing/2014/main" id="{F42F2F80-738A-4AE6-928A-197931CC847A}"/>
            </a:ext>
          </a:extLst>
        </xdr:cNvPr>
        <xdr:cNvCxnSpPr>
          <a:stCxn id="45" idx="3"/>
          <a:endCxn id="16" idx="1"/>
        </xdr:cNvCxnSpPr>
      </xdr:nvCxnSpPr>
      <xdr:spPr>
        <a:xfrm flipV="1">
          <a:off x="5852160" y="10944226"/>
          <a:ext cx="1123950" cy="208597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171450</xdr:colOff>
      <xdr:row>73</xdr:row>
      <xdr:rowOff>85726</xdr:rowOff>
    </xdr:from>
    <xdr:to>
      <xdr:col>37</xdr:col>
      <xdr:colOff>123824</xdr:colOff>
      <xdr:row>73</xdr:row>
      <xdr:rowOff>87502</xdr:rowOff>
    </xdr:to>
    <xdr:cxnSp macro="">
      <xdr:nvCxnSpPr>
        <xdr:cNvPr id="75" name="直線矢印コネクタ 74">
          <a:extLst>
            <a:ext uri="{FF2B5EF4-FFF2-40B4-BE49-F238E27FC236}">
              <a16:creationId xmlns:a16="http://schemas.microsoft.com/office/drawing/2014/main" id="{E4A6069B-6FA5-4BBB-9C30-BD9326C3DBAC}"/>
            </a:ext>
          </a:extLst>
        </xdr:cNvPr>
        <xdr:cNvCxnSpPr>
          <a:stCxn id="16" idx="3"/>
          <a:endCxn id="34" idx="1"/>
        </xdr:cNvCxnSpPr>
      </xdr:nvCxnSpPr>
      <xdr:spPr>
        <a:xfrm>
          <a:off x="7953375" y="13992226"/>
          <a:ext cx="390524" cy="177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133352</xdr:colOff>
      <xdr:row>51</xdr:row>
      <xdr:rowOff>45013</xdr:rowOff>
    </xdr:from>
    <xdr:to>
      <xdr:col>43</xdr:col>
      <xdr:colOff>85726</xdr:colOff>
      <xdr:row>58</xdr:row>
      <xdr:rowOff>19050</xdr:rowOff>
    </xdr:to>
    <xdr:cxnSp macro="">
      <xdr:nvCxnSpPr>
        <xdr:cNvPr id="76" name="コネクタ: カギ線 75">
          <a:extLst>
            <a:ext uri="{FF2B5EF4-FFF2-40B4-BE49-F238E27FC236}">
              <a16:creationId xmlns:a16="http://schemas.microsoft.com/office/drawing/2014/main" id="{91F56B43-363E-49DB-B89F-2F72D6CCD01B}"/>
            </a:ext>
          </a:extLst>
        </xdr:cNvPr>
        <xdr:cNvCxnSpPr>
          <a:cxnSpLocks/>
          <a:stCxn id="84" idx="0"/>
          <a:endCxn id="35" idx="2"/>
        </xdr:cNvCxnSpPr>
      </xdr:nvCxnSpPr>
      <xdr:spPr>
        <a:xfrm rot="16200000" flipV="1">
          <a:off x="8552145" y="6951945"/>
          <a:ext cx="1307537" cy="828674"/>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85725</xdr:colOff>
      <xdr:row>51</xdr:row>
      <xdr:rowOff>45014</xdr:rowOff>
    </xdr:from>
    <xdr:to>
      <xdr:col>46</xdr:col>
      <xdr:colOff>152401</xdr:colOff>
      <xdr:row>58</xdr:row>
      <xdr:rowOff>19051</xdr:rowOff>
    </xdr:to>
    <xdr:cxnSp macro="">
      <xdr:nvCxnSpPr>
        <xdr:cNvPr id="77" name="コネクタ: カギ線 76">
          <a:extLst>
            <a:ext uri="{FF2B5EF4-FFF2-40B4-BE49-F238E27FC236}">
              <a16:creationId xmlns:a16="http://schemas.microsoft.com/office/drawing/2014/main" id="{00626EE0-2EC8-4357-9419-8FF08E97D51B}"/>
            </a:ext>
          </a:extLst>
        </xdr:cNvPr>
        <xdr:cNvCxnSpPr>
          <a:cxnSpLocks/>
          <a:stCxn id="84" idx="0"/>
          <a:endCxn id="63" idx="2"/>
        </xdr:cNvCxnSpPr>
      </xdr:nvCxnSpPr>
      <xdr:spPr>
        <a:xfrm rot="5400000" flipH="1" flipV="1">
          <a:off x="9328432" y="7004332"/>
          <a:ext cx="1307537" cy="723901"/>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190499</xdr:colOff>
      <xdr:row>65</xdr:row>
      <xdr:rowOff>47626</xdr:rowOff>
    </xdr:from>
    <xdr:to>
      <xdr:col>45</xdr:col>
      <xdr:colOff>200025</xdr:colOff>
      <xdr:row>69</xdr:row>
      <xdr:rowOff>28576</xdr:rowOff>
    </xdr:to>
    <xdr:sp macro="" textlink="">
      <xdr:nvSpPr>
        <xdr:cNvPr id="78" name="四角形: 角を丸くする 77">
          <a:extLst>
            <a:ext uri="{FF2B5EF4-FFF2-40B4-BE49-F238E27FC236}">
              <a16:creationId xmlns:a16="http://schemas.microsoft.com/office/drawing/2014/main" id="{7F7A9363-6246-4269-9F44-A35425147B9B}"/>
            </a:ext>
          </a:extLst>
        </xdr:cNvPr>
        <xdr:cNvSpPr/>
      </xdr:nvSpPr>
      <xdr:spPr>
        <a:xfrm>
          <a:off x="9067799" y="12430126"/>
          <a:ext cx="1104901" cy="742950"/>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atin typeface="+mn-ea"/>
              <a:ea typeface="+mn-ea"/>
            </a:rPr>
            <a:t>20.</a:t>
          </a:r>
          <a:r>
            <a:rPr lang="en-US" altLang="ja-JP" sz="1100">
              <a:solidFill>
                <a:schemeClr val="dk1"/>
              </a:solidFill>
              <a:effectLst/>
              <a:latin typeface="+mn-lt"/>
              <a:ea typeface="+mn-ea"/>
              <a:cs typeface="+mn-cs"/>
            </a:rPr>
            <a:t>Gather</a:t>
          </a:r>
          <a:endParaRPr lang="en-US" sz="1100">
            <a:latin typeface="+mn-ea"/>
            <a:ea typeface="+mn-ea"/>
          </a:endParaRPr>
        </a:p>
      </xdr:txBody>
    </xdr:sp>
    <xdr:clientData/>
  </xdr:twoCellAnchor>
  <xdr:twoCellAnchor>
    <xdr:from>
      <xdr:col>24</xdr:col>
      <xdr:colOff>161925</xdr:colOff>
      <xdr:row>46</xdr:row>
      <xdr:rowOff>180975</xdr:rowOff>
    </xdr:from>
    <xdr:to>
      <xdr:col>29</xdr:col>
      <xdr:colOff>77257</xdr:colOff>
      <xdr:row>51</xdr:row>
      <xdr:rowOff>187889</xdr:rowOff>
    </xdr:to>
    <xdr:sp macro="" textlink="">
      <xdr:nvSpPr>
        <xdr:cNvPr id="80" name="四角形: 角を丸くする 79">
          <a:extLst>
            <a:ext uri="{FF2B5EF4-FFF2-40B4-BE49-F238E27FC236}">
              <a16:creationId xmlns:a16="http://schemas.microsoft.com/office/drawing/2014/main" id="{808C0199-A293-4095-8872-64CCE0782490}"/>
            </a:ext>
          </a:extLst>
        </xdr:cNvPr>
        <xdr:cNvSpPr/>
      </xdr:nvSpPr>
      <xdr:spPr>
        <a:xfrm>
          <a:off x="5534025" y="8943975"/>
          <a:ext cx="1010707" cy="959414"/>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a:solidFill>
                <a:schemeClr val="dk1"/>
              </a:solidFill>
              <a:latin typeface="+mn-lt"/>
              <a:ea typeface="+mn-ea"/>
              <a:cs typeface="+mn-cs"/>
            </a:rPr>
            <a:t>10.Splitterr</a:t>
          </a:r>
          <a:r>
            <a:rPr lang="ja-JP" altLang="en-US" sz="1100">
              <a:solidFill>
                <a:schemeClr val="dk1"/>
              </a:solidFill>
              <a:latin typeface="+mn-lt"/>
              <a:ea typeface="+mn-ea"/>
              <a:cs typeface="+mn-cs"/>
            </a:rPr>
            <a:t>用データ事前準備</a:t>
          </a:r>
          <a:endParaRPr lang="en-US" sz="1100">
            <a:solidFill>
              <a:schemeClr val="dk1"/>
            </a:solidFill>
            <a:latin typeface="+mn-lt"/>
            <a:ea typeface="+mn-ea"/>
            <a:cs typeface="+mn-cs"/>
          </a:endParaRPr>
        </a:p>
      </xdr:txBody>
    </xdr:sp>
    <xdr:clientData/>
  </xdr:twoCellAnchor>
  <xdr:twoCellAnchor>
    <xdr:from>
      <xdr:col>29</xdr:col>
      <xdr:colOff>77257</xdr:colOff>
      <xdr:row>49</xdr:row>
      <xdr:rowOff>89182</xdr:rowOff>
    </xdr:from>
    <xdr:to>
      <xdr:col>30</xdr:col>
      <xdr:colOff>142875</xdr:colOff>
      <xdr:row>49</xdr:row>
      <xdr:rowOff>89182</xdr:rowOff>
    </xdr:to>
    <xdr:cxnSp macro="">
      <xdr:nvCxnSpPr>
        <xdr:cNvPr id="81" name="直線矢印コネクタ 80">
          <a:extLst>
            <a:ext uri="{FF2B5EF4-FFF2-40B4-BE49-F238E27FC236}">
              <a16:creationId xmlns:a16="http://schemas.microsoft.com/office/drawing/2014/main" id="{37516F6F-48E6-4834-9777-117060AF94BF}"/>
            </a:ext>
          </a:extLst>
        </xdr:cNvPr>
        <xdr:cNvCxnSpPr>
          <a:stCxn id="80" idx="3"/>
          <a:endCxn id="82" idx="1"/>
        </xdr:cNvCxnSpPr>
      </xdr:nvCxnSpPr>
      <xdr:spPr>
        <a:xfrm>
          <a:off x="6544732" y="9423682"/>
          <a:ext cx="28469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142875</xdr:colOff>
      <xdr:row>47</xdr:row>
      <xdr:rowOff>133350</xdr:rowOff>
    </xdr:from>
    <xdr:to>
      <xdr:col>35</xdr:col>
      <xdr:colOff>58207</xdr:colOff>
      <xdr:row>51</xdr:row>
      <xdr:rowOff>45014</xdr:rowOff>
    </xdr:to>
    <xdr:sp macro="" textlink="">
      <xdr:nvSpPr>
        <xdr:cNvPr id="82" name="四角形: 角を丸くする 81">
          <a:extLst>
            <a:ext uri="{FF2B5EF4-FFF2-40B4-BE49-F238E27FC236}">
              <a16:creationId xmlns:a16="http://schemas.microsoft.com/office/drawing/2014/main" id="{0FE61F5A-7EB8-4FCE-8D78-44DC21F932E6}"/>
            </a:ext>
          </a:extLst>
        </xdr:cNvPr>
        <xdr:cNvSpPr/>
      </xdr:nvSpPr>
      <xdr:spPr>
        <a:xfrm>
          <a:off x="6829425" y="6038850"/>
          <a:ext cx="1010707" cy="673664"/>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a:solidFill>
                <a:schemeClr val="dk1"/>
              </a:solidFill>
              <a:latin typeface="+mn-lt"/>
              <a:ea typeface="+mn-ea"/>
              <a:cs typeface="+mn-cs"/>
            </a:rPr>
            <a:t>11.</a:t>
          </a:r>
          <a:r>
            <a:rPr lang="ja-JP" altLang="en-US" sz="1100">
              <a:solidFill>
                <a:schemeClr val="dk1"/>
              </a:solidFill>
              <a:latin typeface="+mn-lt"/>
              <a:ea typeface="+mn-ea"/>
              <a:cs typeface="+mn-cs"/>
            </a:rPr>
            <a:t>判定処理</a:t>
          </a:r>
          <a:endParaRPr lang="en-US" sz="1100">
            <a:solidFill>
              <a:schemeClr val="dk1"/>
            </a:solidFill>
            <a:latin typeface="+mn-lt"/>
            <a:ea typeface="+mn-ea"/>
            <a:cs typeface="+mn-cs"/>
          </a:endParaRPr>
        </a:p>
      </xdr:txBody>
    </xdr:sp>
    <xdr:clientData/>
  </xdr:twoCellAnchor>
  <xdr:twoCellAnchor>
    <xdr:from>
      <xdr:col>35</xdr:col>
      <xdr:colOff>58207</xdr:colOff>
      <xdr:row>49</xdr:row>
      <xdr:rowOff>89182</xdr:rowOff>
    </xdr:from>
    <xdr:to>
      <xdr:col>36</xdr:col>
      <xdr:colOff>200025</xdr:colOff>
      <xdr:row>49</xdr:row>
      <xdr:rowOff>89182</xdr:rowOff>
    </xdr:to>
    <xdr:cxnSp macro="">
      <xdr:nvCxnSpPr>
        <xdr:cNvPr id="83" name="直線矢印コネクタ 82">
          <a:extLst>
            <a:ext uri="{FF2B5EF4-FFF2-40B4-BE49-F238E27FC236}">
              <a16:creationId xmlns:a16="http://schemas.microsoft.com/office/drawing/2014/main" id="{A295C396-6090-445E-BDFF-1ED853F78D49}"/>
            </a:ext>
          </a:extLst>
        </xdr:cNvPr>
        <xdr:cNvCxnSpPr>
          <a:stCxn id="82" idx="3"/>
          <a:endCxn id="35" idx="1"/>
        </xdr:cNvCxnSpPr>
      </xdr:nvCxnSpPr>
      <xdr:spPr>
        <a:xfrm>
          <a:off x="7840132" y="6375682"/>
          <a:ext cx="36089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142875</xdr:colOff>
      <xdr:row>58</xdr:row>
      <xdr:rowOff>19050</xdr:rowOff>
    </xdr:from>
    <xdr:to>
      <xdr:col>46</xdr:col>
      <xdr:colOff>28575</xdr:colOff>
      <xdr:row>62</xdr:row>
      <xdr:rowOff>0</xdr:rowOff>
    </xdr:to>
    <xdr:sp macro="" textlink="">
      <xdr:nvSpPr>
        <xdr:cNvPr id="84" name="四角形: 角を丸くする 83">
          <a:extLst>
            <a:ext uri="{FF2B5EF4-FFF2-40B4-BE49-F238E27FC236}">
              <a16:creationId xmlns:a16="http://schemas.microsoft.com/office/drawing/2014/main" id="{3F727120-6C4B-49B1-B959-BF499B01B3E0}"/>
            </a:ext>
          </a:extLst>
        </xdr:cNvPr>
        <xdr:cNvSpPr/>
      </xdr:nvSpPr>
      <xdr:spPr>
        <a:xfrm>
          <a:off x="9088755" y="8020050"/>
          <a:ext cx="1211580" cy="742950"/>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atin typeface="+mn-ea"/>
              <a:ea typeface="+mn-ea"/>
            </a:rPr>
            <a:t>21.</a:t>
          </a:r>
          <a:r>
            <a:rPr lang="ja-JP" altLang="ja-JP" sz="1100">
              <a:solidFill>
                <a:schemeClr val="dk1"/>
              </a:solidFill>
              <a:effectLst/>
              <a:latin typeface="+mn-lt"/>
              <a:ea typeface="+mn-ea"/>
              <a:cs typeface="+mn-cs"/>
            </a:rPr>
            <a:t>差分処理判定</a:t>
          </a:r>
          <a:endParaRPr lang="en-US" sz="1100">
            <a:latin typeface="+mn-ea"/>
            <a:ea typeface="+mn-ea"/>
          </a:endParaRPr>
        </a:p>
      </xdr:txBody>
    </xdr:sp>
    <xdr:clientData/>
  </xdr:twoCellAnchor>
  <xdr:twoCellAnchor>
    <xdr:from>
      <xdr:col>43</xdr:col>
      <xdr:colOff>85725</xdr:colOff>
      <xdr:row>62</xdr:row>
      <xdr:rowOff>0</xdr:rowOff>
    </xdr:from>
    <xdr:to>
      <xdr:col>43</xdr:col>
      <xdr:colOff>85725</xdr:colOff>
      <xdr:row>65</xdr:row>
      <xdr:rowOff>47626</xdr:rowOff>
    </xdr:to>
    <xdr:cxnSp macro="">
      <xdr:nvCxnSpPr>
        <xdr:cNvPr id="85" name="直線矢印コネクタ 84">
          <a:extLst>
            <a:ext uri="{FF2B5EF4-FFF2-40B4-BE49-F238E27FC236}">
              <a16:creationId xmlns:a16="http://schemas.microsoft.com/office/drawing/2014/main" id="{850A8117-229B-4381-978C-34F8BA8E0C09}"/>
            </a:ext>
          </a:extLst>
        </xdr:cNvPr>
        <xdr:cNvCxnSpPr>
          <a:stCxn id="78" idx="0"/>
          <a:endCxn id="84" idx="2"/>
        </xdr:cNvCxnSpPr>
      </xdr:nvCxnSpPr>
      <xdr:spPr>
        <a:xfrm flipV="1">
          <a:off x="9694545" y="8763000"/>
          <a:ext cx="0" cy="61912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209550</xdr:colOff>
      <xdr:row>100</xdr:row>
      <xdr:rowOff>152399</xdr:rowOff>
    </xdr:from>
    <xdr:to>
      <xdr:col>43</xdr:col>
      <xdr:colOff>28575</xdr:colOff>
      <xdr:row>110</xdr:row>
      <xdr:rowOff>95250</xdr:rowOff>
    </xdr:to>
    <xdr:sp macro="" textlink="">
      <xdr:nvSpPr>
        <xdr:cNvPr id="86" name="四角形: 角を丸くする 85">
          <a:extLst>
            <a:ext uri="{FF2B5EF4-FFF2-40B4-BE49-F238E27FC236}">
              <a16:creationId xmlns:a16="http://schemas.microsoft.com/office/drawing/2014/main" id="{BC425CDA-9C1E-46A7-B520-D88CDDCBB414}"/>
            </a:ext>
          </a:extLst>
        </xdr:cNvPr>
        <xdr:cNvSpPr/>
      </xdr:nvSpPr>
      <xdr:spPr>
        <a:xfrm>
          <a:off x="4048125" y="19202399"/>
          <a:ext cx="5514975" cy="1847851"/>
        </a:xfrm>
        <a:prstGeom prst="roundRect">
          <a:avLst/>
        </a:prstGeom>
        <a:noFill/>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clientData/>
  </xdr:twoCellAnchor>
  <xdr:twoCellAnchor>
    <xdr:from>
      <xdr:col>27</xdr:col>
      <xdr:colOff>0</xdr:colOff>
      <xdr:row>101</xdr:row>
      <xdr:rowOff>76199</xdr:rowOff>
    </xdr:from>
    <xdr:to>
      <xdr:col>34</xdr:col>
      <xdr:colOff>123825</xdr:colOff>
      <xdr:row>103</xdr:row>
      <xdr:rowOff>47624</xdr:rowOff>
    </xdr:to>
    <xdr:sp macro="" textlink="">
      <xdr:nvSpPr>
        <xdr:cNvPr id="87" name="テキスト ボックス 86">
          <a:extLst>
            <a:ext uri="{FF2B5EF4-FFF2-40B4-BE49-F238E27FC236}">
              <a16:creationId xmlns:a16="http://schemas.microsoft.com/office/drawing/2014/main" id="{15E97645-83FC-4AD2-B4F1-680EC79D30C2}"/>
            </a:ext>
          </a:extLst>
        </xdr:cNvPr>
        <xdr:cNvSpPr txBox="1"/>
      </xdr:nvSpPr>
      <xdr:spPr>
        <a:xfrm>
          <a:off x="6029325" y="19316699"/>
          <a:ext cx="16573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latin typeface="+mn-lt"/>
              <a:ea typeface="メイリオ" panose="020B0604030504040204" pitchFamily="50" charset="-128"/>
            </a:rPr>
            <a:t>Exception</a:t>
          </a:r>
          <a:r>
            <a:rPr kumimoji="1" lang="en-US" altLang="ja-JP" sz="1200" baseline="0">
              <a:latin typeface="+mn-lt"/>
              <a:ea typeface="メイリオ" panose="020B0604030504040204" pitchFamily="50" charset="-128"/>
            </a:rPr>
            <a:t>  Subprocess</a:t>
          </a:r>
          <a:endParaRPr kumimoji="1" lang="ja-JP" altLang="en-US" sz="1200">
            <a:latin typeface="+mn-lt"/>
            <a:ea typeface="メイリオ" panose="020B0604030504040204" pitchFamily="50" charset="-128"/>
          </a:endParaRPr>
        </a:p>
      </xdr:txBody>
    </xdr:sp>
    <xdr:clientData/>
  </xdr:twoCellAnchor>
  <xdr:twoCellAnchor>
    <xdr:from>
      <xdr:col>27</xdr:col>
      <xdr:colOff>190500</xdr:colOff>
      <xdr:row>103</xdr:row>
      <xdr:rowOff>123824</xdr:rowOff>
    </xdr:from>
    <xdr:to>
      <xdr:col>33</xdr:col>
      <xdr:colOff>85725</xdr:colOff>
      <xdr:row>108</xdr:row>
      <xdr:rowOff>9525</xdr:rowOff>
    </xdr:to>
    <xdr:sp macro="" textlink="">
      <xdr:nvSpPr>
        <xdr:cNvPr id="89" name="四角形: 角を丸くする 88">
          <a:extLst>
            <a:ext uri="{FF2B5EF4-FFF2-40B4-BE49-F238E27FC236}">
              <a16:creationId xmlns:a16="http://schemas.microsoft.com/office/drawing/2014/main" id="{700BA268-A415-4128-ABE8-D9293FCEB07C}"/>
            </a:ext>
          </a:extLst>
        </xdr:cNvPr>
        <xdr:cNvSpPr/>
      </xdr:nvSpPr>
      <xdr:spPr>
        <a:xfrm>
          <a:off x="6219825" y="19745324"/>
          <a:ext cx="1209675" cy="838201"/>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a:t>23</a:t>
          </a:r>
          <a:r>
            <a:rPr lang="en-US" altLang="ja-JP" sz="1100">
              <a:latin typeface="ＭＳ Ｐゴシック 本文"/>
            </a:rPr>
            <a:t>.Payload</a:t>
          </a:r>
          <a:r>
            <a:rPr lang="ja-JP" altLang="en-US" sz="1100">
              <a:latin typeface="ＭＳ Ｐゴシック 本文"/>
            </a:rPr>
            <a:t>情報を</a:t>
          </a:r>
          <a:r>
            <a:rPr lang="en-US" altLang="ja-JP" sz="1100">
              <a:latin typeface="+mn-lt"/>
            </a:rPr>
            <a:t>Attachment</a:t>
          </a:r>
          <a:r>
            <a:rPr lang="ja-JP" altLang="en-US" sz="1100">
              <a:latin typeface="+mn-lt"/>
            </a:rPr>
            <a:t>出力処理</a:t>
          </a:r>
          <a:endParaRPr lang="en-US" sz="1100">
            <a:latin typeface="+mn-lt"/>
          </a:endParaRPr>
        </a:p>
      </xdr:txBody>
    </xdr:sp>
    <xdr:clientData/>
  </xdr:twoCellAnchor>
  <xdr:twoCellAnchor>
    <xdr:from>
      <xdr:col>19</xdr:col>
      <xdr:colOff>190500</xdr:colOff>
      <xdr:row>104</xdr:row>
      <xdr:rowOff>9524</xdr:rowOff>
    </xdr:from>
    <xdr:to>
      <xdr:col>25</xdr:col>
      <xdr:colOff>28575</xdr:colOff>
      <xdr:row>107</xdr:row>
      <xdr:rowOff>114299</xdr:rowOff>
    </xdr:to>
    <xdr:sp macro="" textlink="">
      <xdr:nvSpPr>
        <xdr:cNvPr id="90" name="四角形: 角を丸くする 89">
          <a:extLst>
            <a:ext uri="{FF2B5EF4-FFF2-40B4-BE49-F238E27FC236}">
              <a16:creationId xmlns:a16="http://schemas.microsoft.com/office/drawing/2014/main" id="{913A29F2-4D6C-4A6C-BFA9-6526F6E7B929}"/>
            </a:ext>
          </a:extLst>
        </xdr:cNvPr>
        <xdr:cNvSpPr/>
      </xdr:nvSpPr>
      <xdr:spPr>
        <a:xfrm>
          <a:off x="4467225" y="19821524"/>
          <a:ext cx="1152525" cy="676275"/>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a:solidFill>
                <a:schemeClr val="dk1"/>
              </a:solidFill>
              <a:effectLst/>
              <a:latin typeface="+mn-lt"/>
              <a:ea typeface="+mn-ea"/>
              <a:cs typeface="+mn-cs"/>
            </a:rPr>
            <a:t>22.</a:t>
          </a:r>
          <a:r>
            <a:rPr lang="ja-JP" altLang="en-US" sz="1100">
              <a:solidFill>
                <a:schemeClr val="dk1"/>
              </a:solidFill>
              <a:effectLst/>
              <a:latin typeface="+mn-lt"/>
              <a:ea typeface="+mn-ea"/>
              <a:cs typeface="+mn-cs"/>
            </a:rPr>
            <a:t>エラー開始イベント</a:t>
          </a:r>
          <a:endParaRPr lang="en-US" sz="1100"/>
        </a:p>
      </xdr:txBody>
    </xdr:sp>
    <xdr:clientData/>
  </xdr:twoCellAnchor>
  <xdr:twoCellAnchor>
    <xdr:from>
      <xdr:col>35</xdr:col>
      <xdr:colOff>133350</xdr:colOff>
      <xdr:row>104</xdr:row>
      <xdr:rowOff>76199</xdr:rowOff>
    </xdr:from>
    <xdr:to>
      <xdr:col>41</xdr:col>
      <xdr:colOff>175772</xdr:colOff>
      <xdr:row>107</xdr:row>
      <xdr:rowOff>66674</xdr:rowOff>
    </xdr:to>
    <xdr:sp macro="" textlink="">
      <xdr:nvSpPr>
        <xdr:cNvPr id="91" name="四角形: 角を丸くする 90">
          <a:extLst>
            <a:ext uri="{FF2B5EF4-FFF2-40B4-BE49-F238E27FC236}">
              <a16:creationId xmlns:a16="http://schemas.microsoft.com/office/drawing/2014/main" id="{FE5B0EA1-8B65-4D42-8EC9-124517877F15}"/>
            </a:ext>
          </a:extLst>
        </xdr:cNvPr>
        <xdr:cNvSpPr/>
      </xdr:nvSpPr>
      <xdr:spPr>
        <a:xfrm>
          <a:off x="7915275" y="19888199"/>
          <a:ext cx="1356872" cy="561975"/>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altLang="ja-JP" sz="1100">
              <a:solidFill>
                <a:schemeClr val="dk1"/>
              </a:solidFill>
              <a:effectLst/>
              <a:latin typeface="+mn-lt"/>
              <a:ea typeface="+mn-ea"/>
              <a:cs typeface="+mn-cs"/>
            </a:rPr>
            <a:t>24.</a:t>
          </a:r>
          <a:r>
            <a:rPr lang="ja-JP" altLang="en-US" sz="1100">
              <a:solidFill>
                <a:schemeClr val="dk1"/>
              </a:solidFill>
              <a:effectLst/>
              <a:latin typeface="+mn-lt"/>
              <a:ea typeface="+mn-ea"/>
              <a:cs typeface="+mn-cs"/>
            </a:rPr>
            <a:t>終了処理</a:t>
          </a:r>
          <a:endParaRPr lang="en-US" sz="1100"/>
        </a:p>
      </xdr:txBody>
    </xdr:sp>
    <xdr:clientData/>
  </xdr:twoCellAnchor>
  <xdr:twoCellAnchor>
    <xdr:from>
      <xdr:col>33</xdr:col>
      <xdr:colOff>85725</xdr:colOff>
      <xdr:row>105</xdr:row>
      <xdr:rowOff>161925</xdr:rowOff>
    </xdr:from>
    <xdr:to>
      <xdr:col>35</xdr:col>
      <xdr:colOff>133350</xdr:colOff>
      <xdr:row>105</xdr:row>
      <xdr:rowOff>166687</xdr:rowOff>
    </xdr:to>
    <xdr:cxnSp macro="">
      <xdr:nvCxnSpPr>
        <xdr:cNvPr id="94" name="直線矢印コネクタ 93">
          <a:extLst>
            <a:ext uri="{FF2B5EF4-FFF2-40B4-BE49-F238E27FC236}">
              <a16:creationId xmlns:a16="http://schemas.microsoft.com/office/drawing/2014/main" id="{FD7084CF-CA75-4FA9-A1DB-FAB228AEBA0B}"/>
            </a:ext>
          </a:extLst>
        </xdr:cNvPr>
        <xdr:cNvCxnSpPr>
          <a:stCxn id="89" idx="3"/>
          <a:endCxn id="91" idx="1"/>
        </xdr:cNvCxnSpPr>
      </xdr:nvCxnSpPr>
      <xdr:spPr>
        <a:xfrm>
          <a:off x="7429500" y="20164425"/>
          <a:ext cx="485775" cy="47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47625</xdr:colOff>
      <xdr:row>115</xdr:row>
      <xdr:rowOff>0</xdr:rowOff>
    </xdr:from>
    <xdr:to>
      <xdr:col>41</xdr:col>
      <xdr:colOff>180975</xdr:colOff>
      <xdr:row>124</xdr:row>
      <xdr:rowOff>133351</xdr:rowOff>
    </xdr:to>
    <xdr:sp macro="" textlink="">
      <xdr:nvSpPr>
        <xdr:cNvPr id="105" name="四角形: 角を丸くする 104">
          <a:extLst>
            <a:ext uri="{FF2B5EF4-FFF2-40B4-BE49-F238E27FC236}">
              <a16:creationId xmlns:a16="http://schemas.microsoft.com/office/drawing/2014/main" id="{D1A271C0-DED1-4A23-AE43-B05A5BB2D2B6}"/>
            </a:ext>
          </a:extLst>
        </xdr:cNvPr>
        <xdr:cNvSpPr/>
      </xdr:nvSpPr>
      <xdr:spPr>
        <a:xfrm>
          <a:off x="3910965" y="16954500"/>
          <a:ext cx="5436870" cy="1847851"/>
        </a:xfrm>
        <a:prstGeom prst="roundRect">
          <a:avLst/>
        </a:prstGeom>
        <a:noFill/>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clientData/>
  </xdr:twoCellAnchor>
  <xdr:twoCellAnchor>
    <xdr:from>
      <xdr:col>24</xdr:col>
      <xdr:colOff>142875</xdr:colOff>
      <xdr:row>116</xdr:row>
      <xdr:rowOff>76200</xdr:rowOff>
    </xdr:from>
    <xdr:to>
      <xdr:col>33</xdr:col>
      <xdr:colOff>57150</xdr:colOff>
      <xdr:row>118</xdr:row>
      <xdr:rowOff>47625</xdr:rowOff>
    </xdr:to>
    <xdr:sp macro="" textlink="">
      <xdr:nvSpPr>
        <xdr:cNvPr id="106" name="テキスト ボックス 105">
          <a:extLst>
            <a:ext uri="{FF2B5EF4-FFF2-40B4-BE49-F238E27FC236}">
              <a16:creationId xmlns:a16="http://schemas.microsoft.com/office/drawing/2014/main" id="{2F734157-CCFF-4A00-B780-C76A165F2982}"/>
            </a:ext>
          </a:extLst>
        </xdr:cNvPr>
        <xdr:cNvSpPr txBox="1"/>
      </xdr:nvSpPr>
      <xdr:spPr>
        <a:xfrm>
          <a:off x="5553075" y="17221200"/>
          <a:ext cx="190309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latin typeface="+mn-lt"/>
              <a:ea typeface="メイリオ" panose="020B0604030504040204" pitchFamily="50" charset="-128"/>
            </a:rPr>
            <a:t>Local Integration process </a:t>
          </a:r>
          <a:endParaRPr kumimoji="1" lang="ja-JP" altLang="en-US" sz="1200">
            <a:latin typeface="+mn-lt"/>
            <a:ea typeface="メイリオ" panose="020B0604030504040204" pitchFamily="50" charset="-128"/>
          </a:endParaRPr>
        </a:p>
      </xdr:txBody>
    </xdr:sp>
    <xdr:clientData/>
  </xdr:twoCellAnchor>
  <xdr:twoCellAnchor>
    <xdr:from>
      <xdr:col>26</xdr:col>
      <xdr:colOff>104775</xdr:colOff>
      <xdr:row>119</xdr:row>
      <xdr:rowOff>0</xdr:rowOff>
    </xdr:from>
    <xdr:to>
      <xdr:col>31</xdr:col>
      <xdr:colOff>55387</xdr:colOff>
      <xdr:row>122</xdr:row>
      <xdr:rowOff>148871</xdr:rowOff>
    </xdr:to>
    <xdr:sp macro="" textlink="">
      <xdr:nvSpPr>
        <xdr:cNvPr id="107" name="四角形: 角を丸くする 106">
          <a:extLst>
            <a:ext uri="{FF2B5EF4-FFF2-40B4-BE49-F238E27FC236}">
              <a16:creationId xmlns:a16="http://schemas.microsoft.com/office/drawing/2014/main" id="{287F9CF4-CEC4-401C-982C-C9537A97EB0B}"/>
            </a:ext>
          </a:extLst>
        </xdr:cNvPr>
        <xdr:cNvSpPr/>
      </xdr:nvSpPr>
      <xdr:spPr>
        <a:xfrm>
          <a:off x="5956935" y="17716500"/>
          <a:ext cx="1055512" cy="720371"/>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3-2</a:t>
          </a:r>
          <a:r>
            <a:rPr lang="en-US" sz="1000"/>
            <a:t>.</a:t>
          </a:r>
          <a:r>
            <a:rPr lang="en-US" altLang="ja-JP" sz="1000"/>
            <a:t>VM</a:t>
          </a:r>
          <a:r>
            <a:rPr lang="ja-JP" altLang="en-US" sz="1000"/>
            <a:t>からパラメータ取得</a:t>
          </a:r>
          <a:endParaRPr lang="en-US" sz="1100"/>
        </a:p>
      </xdr:txBody>
    </xdr:sp>
    <xdr:clientData/>
  </xdr:twoCellAnchor>
  <xdr:twoCellAnchor>
    <xdr:from>
      <xdr:col>19</xdr:col>
      <xdr:colOff>66675</xdr:colOff>
      <xdr:row>118</xdr:row>
      <xdr:rowOff>180975</xdr:rowOff>
    </xdr:from>
    <xdr:to>
      <xdr:col>24</xdr:col>
      <xdr:colOff>17287</xdr:colOff>
      <xdr:row>122</xdr:row>
      <xdr:rowOff>158396</xdr:rowOff>
    </xdr:to>
    <xdr:sp macro="" textlink="">
      <xdr:nvSpPr>
        <xdr:cNvPr id="108" name="四角形: 角を丸くする 107">
          <a:extLst>
            <a:ext uri="{FF2B5EF4-FFF2-40B4-BE49-F238E27FC236}">
              <a16:creationId xmlns:a16="http://schemas.microsoft.com/office/drawing/2014/main" id="{012CF97C-CB2B-4B85-91C4-49A073283BE2}"/>
            </a:ext>
          </a:extLst>
        </xdr:cNvPr>
        <xdr:cNvSpPr/>
      </xdr:nvSpPr>
      <xdr:spPr>
        <a:xfrm>
          <a:off x="4371975" y="17706975"/>
          <a:ext cx="1055512" cy="739421"/>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3-1</a:t>
          </a:r>
          <a:r>
            <a:rPr lang="en-US" sz="1000"/>
            <a:t>.</a:t>
          </a:r>
          <a:r>
            <a:rPr lang="ja-JP" altLang="ja-JP" sz="1100">
              <a:solidFill>
                <a:schemeClr val="dk1"/>
              </a:solidFill>
              <a:effectLst/>
              <a:latin typeface="+mn-lt"/>
              <a:ea typeface="+mn-ea"/>
              <a:cs typeface="+mn-cs"/>
            </a:rPr>
            <a:t>エラー開始イベント</a:t>
          </a:r>
          <a:endParaRPr lang="en-US" sz="1100"/>
        </a:p>
      </xdr:txBody>
    </xdr:sp>
    <xdr:clientData/>
  </xdr:twoCellAnchor>
  <xdr:twoCellAnchor>
    <xdr:from>
      <xdr:col>33</xdr:col>
      <xdr:colOff>171450</xdr:colOff>
      <xdr:row>119</xdr:row>
      <xdr:rowOff>0</xdr:rowOff>
    </xdr:from>
    <xdr:to>
      <xdr:col>38</xdr:col>
      <xdr:colOff>122062</xdr:colOff>
      <xdr:row>122</xdr:row>
      <xdr:rowOff>148871</xdr:rowOff>
    </xdr:to>
    <xdr:sp macro="" textlink="">
      <xdr:nvSpPr>
        <xdr:cNvPr id="109" name="四角形: 角を丸くする 108">
          <a:extLst>
            <a:ext uri="{FF2B5EF4-FFF2-40B4-BE49-F238E27FC236}">
              <a16:creationId xmlns:a16="http://schemas.microsoft.com/office/drawing/2014/main" id="{D949063C-DB36-4C0D-AE08-260AEE6CC6C9}"/>
            </a:ext>
          </a:extLst>
        </xdr:cNvPr>
        <xdr:cNvSpPr/>
      </xdr:nvSpPr>
      <xdr:spPr>
        <a:xfrm>
          <a:off x="7570470" y="17716500"/>
          <a:ext cx="1055512" cy="720371"/>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3-3</a:t>
          </a:r>
          <a:r>
            <a:rPr lang="en-US" sz="1000"/>
            <a:t>.</a:t>
          </a:r>
          <a:r>
            <a:rPr lang="ja-JP" altLang="ja-JP" sz="1100">
              <a:solidFill>
                <a:schemeClr val="dk1"/>
              </a:solidFill>
              <a:effectLst/>
              <a:latin typeface="+mn-lt"/>
              <a:ea typeface="+mn-ea"/>
              <a:cs typeface="+mn-cs"/>
            </a:rPr>
            <a:t>終了処理</a:t>
          </a:r>
          <a:endParaRPr lang="en-US" sz="1100"/>
        </a:p>
      </xdr:txBody>
    </xdr:sp>
    <xdr:clientData/>
  </xdr:twoCellAnchor>
  <xdr:twoCellAnchor>
    <xdr:from>
      <xdr:col>24</xdr:col>
      <xdr:colOff>17287</xdr:colOff>
      <xdr:row>120</xdr:row>
      <xdr:rowOff>169686</xdr:rowOff>
    </xdr:from>
    <xdr:to>
      <xdr:col>26</xdr:col>
      <xdr:colOff>104775</xdr:colOff>
      <xdr:row>120</xdr:row>
      <xdr:rowOff>169686</xdr:rowOff>
    </xdr:to>
    <xdr:cxnSp macro="">
      <xdr:nvCxnSpPr>
        <xdr:cNvPr id="110" name="直線矢印コネクタ 109">
          <a:extLst>
            <a:ext uri="{FF2B5EF4-FFF2-40B4-BE49-F238E27FC236}">
              <a16:creationId xmlns:a16="http://schemas.microsoft.com/office/drawing/2014/main" id="{0CD2FF5F-98D9-4183-BEA9-5CD2C1F97228}"/>
            </a:ext>
          </a:extLst>
        </xdr:cNvPr>
        <xdr:cNvCxnSpPr>
          <a:stCxn id="108" idx="3"/>
          <a:endCxn id="107" idx="1"/>
        </xdr:cNvCxnSpPr>
      </xdr:nvCxnSpPr>
      <xdr:spPr>
        <a:xfrm>
          <a:off x="5427487" y="18076686"/>
          <a:ext cx="529448"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55387</xdr:colOff>
      <xdr:row>120</xdr:row>
      <xdr:rowOff>169686</xdr:rowOff>
    </xdr:from>
    <xdr:to>
      <xdr:col>33</xdr:col>
      <xdr:colOff>171450</xdr:colOff>
      <xdr:row>120</xdr:row>
      <xdr:rowOff>169686</xdr:rowOff>
    </xdr:to>
    <xdr:cxnSp macro="">
      <xdr:nvCxnSpPr>
        <xdr:cNvPr id="111" name="直線矢印コネクタ 110">
          <a:extLst>
            <a:ext uri="{FF2B5EF4-FFF2-40B4-BE49-F238E27FC236}">
              <a16:creationId xmlns:a16="http://schemas.microsoft.com/office/drawing/2014/main" id="{7FD24B09-13EB-447B-ADD9-43B53D052D39}"/>
            </a:ext>
          </a:extLst>
        </xdr:cNvPr>
        <xdr:cNvCxnSpPr>
          <a:stCxn id="107" idx="3"/>
          <a:endCxn id="109" idx="1"/>
        </xdr:cNvCxnSpPr>
      </xdr:nvCxnSpPr>
      <xdr:spPr>
        <a:xfrm>
          <a:off x="7012447" y="18076686"/>
          <a:ext cx="55802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33866</xdr:colOff>
      <xdr:row>46</xdr:row>
      <xdr:rowOff>180621</xdr:rowOff>
    </xdr:from>
    <xdr:to>
      <xdr:col>21</xdr:col>
      <xdr:colOff>7940</xdr:colOff>
      <xdr:row>47</xdr:row>
      <xdr:rowOff>136529</xdr:rowOff>
    </xdr:to>
    <xdr:cxnSp macro="">
      <xdr:nvCxnSpPr>
        <xdr:cNvPr id="113" name="コネクタ: カギ線 112">
          <a:extLst>
            <a:ext uri="{FF2B5EF4-FFF2-40B4-BE49-F238E27FC236}">
              <a16:creationId xmlns:a16="http://schemas.microsoft.com/office/drawing/2014/main" id="{B6811EBA-15A4-1544-B33D-28BF502829FC}"/>
            </a:ext>
          </a:extLst>
        </xdr:cNvPr>
        <xdr:cNvCxnSpPr>
          <a:stCxn id="21" idx="0"/>
          <a:endCxn id="29" idx="0"/>
        </xdr:cNvCxnSpPr>
      </xdr:nvCxnSpPr>
      <xdr:spPr>
        <a:xfrm rot="16200000" flipH="1">
          <a:off x="2524212" y="3843425"/>
          <a:ext cx="146408" cy="4250799"/>
        </a:xfrm>
        <a:prstGeom prst="bentConnector3">
          <a:avLst>
            <a:gd name="adj1" fmla="val -30577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95250</xdr:colOff>
      <xdr:row>24</xdr:row>
      <xdr:rowOff>66675</xdr:rowOff>
    </xdr:from>
    <xdr:to>
      <xdr:col>42</xdr:col>
      <xdr:colOff>114300</xdr:colOff>
      <xdr:row>27</xdr:row>
      <xdr:rowOff>161925</xdr:rowOff>
    </xdr:to>
    <xdr:sp macro="" textlink="">
      <xdr:nvSpPr>
        <xdr:cNvPr id="25" name="四角形: 角を丸くする 24">
          <a:extLst>
            <a:ext uri="{FF2B5EF4-FFF2-40B4-BE49-F238E27FC236}">
              <a16:creationId xmlns:a16="http://schemas.microsoft.com/office/drawing/2014/main" id="{84BEF0ED-4510-4A88-A2D0-E89A63633889}"/>
            </a:ext>
          </a:extLst>
        </xdr:cNvPr>
        <xdr:cNvSpPr/>
      </xdr:nvSpPr>
      <xdr:spPr>
        <a:xfrm>
          <a:off x="7658100" y="4638675"/>
          <a:ext cx="1771650" cy="666750"/>
        </a:xfrm>
        <a:prstGeom prst="roundRect">
          <a:avLst/>
        </a:prstGeom>
        <a:solidFill>
          <a:schemeClr val="accent2"/>
        </a:solidFill>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6-1.DSP</a:t>
          </a:r>
          <a:r>
            <a:rPr lang="ja-JP" altLang="ja-JP" sz="1100">
              <a:solidFill>
                <a:schemeClr val="dk1"/>
              </a:solidFill>
              <a:effectLst/>
              <a:latin typeface="+mn-lt"/>
              <a:ea typeface="+mn-ea"/>
              <a:cs typeface="+mn-cs"/>
            </a:rPr>
            <a:t>エラー履歴テーブル</a:t>
          </a:r>
          <a:r>
            <a:rPr lang="ja-JP" altLang="en-US" sz="1100">
              <a:solidFill>
                <a:schemeClr val="dk1"/>
              </a:solidFill>
              <a:effectLst/>
              <a:latin typeface="+mn-lt"/>
              <a:ea typeface="+mn-ea"/>
              <a:cs typeface="+mn-cs"/>
            </a:rPr>
            <a:t>読込</a:t>
          </a:r>
        </a:p>
        <a:p>
          <a:pPr algn="ctr"/>
          <a:endParaRPr lang="en-US" sz="1100"/>
        </a:p>
      </xdr:txBody>
    </xdr:sp>
    <xdr:clientData/>
  </xdr:twoCellAnchor>
  <xdr:twoCellAnchor>
    <xdr:from>
      <xdr:col>34</xdr:col>
      <xdr:colOff>66675</xdr:colOff>
      <xdr:row>28</xdr:row>
      <xdr:rowOff>171450</xdr:rowOff>
    </xdr:from>
    <xdr:to>
      <xdr:col>42</xdr:col>
      <xdr:colOff>152400</xdr:colOff>
      <xdr:row>32</xdr:row>
      <xdr:rowOff>171450</xdr:rowOff>
    </xdr:to>
    <xdr:sp macro="" textlink="">
      <xdr:nvSpPr>
        <xdr:cNvPr id="49" name="四角形: 角を丸くする 48">
          <a:extLst>
            <a:ext uri="{FF2B5EF4-FFF2-40B4-BE49-F238E27FC236}">
              <a16:creationId xmlns:a16="http://schemas.microsoft.com/office/drawing/2014/main" id="{1C7D0CF5-2A49-42AE-9288-A2071865A1CA}"/>
            </a:ext>
          </a:extLst>
        </xdr:cNvPr>
        <xdr:cNvSpPr/>
      </xdr:nvSpPr>
      <xdr:spPr>
        <a:xfrm>
          <a:off x="7629525" y="5505450"/>
          <a:ext cx="1838325" cy="762000"/>
        </a:xfrm>
        <a:prstGeom prst="roundRect">
          <a:avLst/>
        </a:prstGeom>
        <a:solidFill>
          <a:schemeClr val="accent2"/>
        </a:solidFill>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6-2.DSP</a:t>
          </a:r>
          <a:r>
            <a:rPr lang="ja-JP" altLang="en-US" sz="1100">
              <a:solidFill>
                <a:schemeClr val="dk1"/>
              </a:solidFill>
              <a:effectLst/>
              <a:latin typeface="+mn-lt"/>
              <a:ea typeface="+mn-ea"/>
              <a:cs typeface="+mn-cs"/>
            </a:rPr>
            <a:t>エラー履歴テーブル取得編集</a:t>
          </a:r>
          <a:endParaRPr lang="en-US" sz="1100"/>
        </a:p>
      </xdr:txBody>
    </xdr:sp>
    <xdr:clientData/>
  </xdr:twoCellAnchor>
  <xdr:twoCellAnchor>
    <xdr:from>
      <xdr:col>34</xdr:col>
      <xdr:colOff>161925</xdr:colOff>
      <xdr:row>34</xdr:row>
      <xdr:rowOff>57150</xdr:rowOff>
    </xdr:from>
    <xdr:to>
      <xdr:col>42</xdr:col>
      <xdr:colOff>66677</xdr:colOff>
      <xdr:row>38</xdr:row>
      <xdr:rowOff>28575</xdr:rowOff>
    </xdr:to>
    <xdr:sp macro="" textlink="">
      <xdr:nvSpPr>
        <xdr:cNvPr id="50" name="四角形: 角を丸くする 49">
          <a:extLst>
            <a:ext uri="{FF2B5EF4-FFF2-40B4-BE49-F238E27FC236}">
              <a16:creationId xmlns:a16="http://schemas.microsoft.com/office/drawing/2014/main" id="{3B9A6A4B-C8BB-42E9-A885-BD6258D11D1A}"/>
            </a:ext>
          </a:extLst>
        </xdr:cNvPr>
        <xdr:cNvSpPr/>
      </xdr:nvSpPr>
      <xdr:spPr>
        <a:xfrm>
          <a:off x="7724775" y="6534150"/>
          <a:ext cx="1657352" cy="733425"/>
        </a:xfrm>
        <a:prstGeom prst="roundRect">
          <a:avLst/>
        </a:prstGeom>
        <a:solidFill>
          <a:schemeClr val="accent2"/>
        </a:solidFill>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6-3.DSP</a:t>
          </a:r>
          <a:r>
            <a:rPr lang="ja-JP" altLang="en-US" sz="1100">
              <a:solidFill>
                <a:schemeClr val="dk1"/>
              </a:solidFill>
              <a:effectLst/>
              <a:latin typeface="+mn-lt"/>
              <a:ea typeface="+mn-ea"/>
              <a:cs typeface="+mn-cs"/>
            </a:rPr>
            <a:t>エラー履歴テーブル削除データ作成</a:t>
          </a:r>
          <a:endParaRPr lang="ja-JP" altLang="ja-JP">
            <a:effectLst/>
          </a:endParaRPr>
        </a:p>
        <a:p>
          <a:pPr algn="ctr"/>
          <a:endParaRPr lang="en-US" sz="1100"/>
        </a:p>
      </xdr:txBody>
    </xdr:sp>
    <xdr:clientData/>
  </xdr:twoCellAnchor>
  <xdr:twoCellAnchor>
    <xdr:from>
      <xdr:col>34</xdr:col>
      <xdr:colOff>209550</xdr:colOff>
      <xdr:row>39</xdr:row>
      <xdr:rowOff>104775</xdr:rowOff>
    </xdr:from>
    <xdr:to>
      <xdr:col>42</xdr:col>
      <xdr:colOff>28576</xdr:colOff>
      <xdr:row>44</xdr:row>
      <xdr:rowOff>19050</xdr:rowOff>
    </xdr:to>
    <xdr:sp macro="" textlink="">
      <xdr:nvSpPr>
        <xdr:cNvPr id="95" name="四角形: 角を丸くする 94">
          <a:extLst>
            <a:ext uri="{FF2B5EF4-FFF2-40B4-BE49-F238E27FC236}">
              <a16:creationId xmlns:a16="http://schemas.microsoft.com/office/drawing/2014/main" id="{7611CBB1-72B2-444B-B516-DD9EA0793BCE}"/>
            </a:ext>
          </a:extLst>
        </xdr:cNvPr>
        <xdr:cNvSpPr/>
      </xdr:nvSpPr>
      <xdr:spPr>
        <a:xfrm>
          <a:off x="7772400" y="7534275"/>
          <a:ext cx="1571626" cy="866775"/>
        </a:xfrm>
        <a:prstGeom prst="roundRect">
          <a:avLst/>
        </a:prstGeom>
        <a:solidFill>
          <a:schemeClr val="accent2"/>
        </a:solidFill>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6-4.DSP</a:t>
          </a:r>
          <a:r>
            <a:rPr lang="ja-JP" altLang="en-US" sz="1100">
              <a:solidFill>
                <a:schemeClr val="dk1"/>
              </a:solidFill>
              <a:effectLst/>
              <a:latin typeface="+mn-lt"/>
              <a:ea typeface="+mn-ea"/>
              <a:cs typeface="+mn-cs"/>
            </a:rPr>
            <a:t>エラー履歴テーブルデータ削除</a:t>
          </a:r>
          <a:endParaRPr lang="en-US" sz="1100"/>
        </a:p>
      </xdr:txBody>
    </xdr:sp>
    <xdr:clientData/>
  </xdr:twoCellAnchor>
  <xdr:twoCellAnchor>
    <xdr:from>
      <xdr:col>38</xdr:col>
      <xdr:colOff>104775</xdr:colOff>
      <xdr:row>27</xdr:row>
      <xdr:rowOff>161925</xdr:rowOff>
    </xdr:from>
    <xdr:to>
      <xdr:col>38</xdr:col>
      <xdr:colOff>109538</xdr:colOff>
      <xdr:row>28</xdr:row>
      <xdr:rowOff>171450</xdr:rowOff>
    </xdr:to>
    <xdr:cxnSp macro="">
      <xdr:nvCxnSpPr>
        <xdr:cNvPr id="99" name="直線矢印コネクタ 98">
          <a:extLst>
            <a:ext uri="{FF2B5EF4-FFF2-40B4-BE49-F238E27FC236}">
              <a16:creationId xmlns:a16="http://schemas.microsoft.com/office/drawing/2014/main" id="{7B6D7163-D08B-028F-0E8F-C7BBCC61EA6B}"/>
            </a:ext>
          </a:extLst>
        </xdr:cNvPr>
        <xdr:cNvCxnSpPr>
          <a:stCxn id="25" idx="2"/>
          <a:endCxn id="49" idx="0"/>
        </xdr:cNvCxnSpPr>
      </xdr:nvCxnSpPr>
      <xdr:spPr>
        <a:xfrm>
          <a:off x="8543925" y="5305425"/>
          <a:ext cx="4763" cy="200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109538</xdr:colOff>
      <xdr:row>32</xdr:row>
      <xdr:rowOff>171450</xdr:rowOff>
    </xdr:from>
    <xdr:to>
      <xdr:col>38</xdr:col>
      <xdr:colOff>114301</xdr:colOff>
      <xdr:row>34</xdr:row>
      <xdr:rowOff>57150</xdr:rowOff>
    </xdr:to>
    <xdr:cxnSp macro="">
      <xdr:nvCxnSpPr>
        <xdr:cNvPr id="101" name="直線矢印コネクタ 100">
          <a:extLst>
            <a:ext uri="{FF2B5EF4-FFF2-40B4-BE49-F238E27FC236}">
              <a16:creationId xmlns:a16="http://schemas.microsoft.com/office/drawing/2014/main" id="{CFBE6C22-B258-C946-0BF7-6D124C6530B6}"/>
            </a:ext>
          </a:extLst>
        </xdr:cNvPr>
        <xdr:cNvCxnSpPr>
          <a:stCxn id="49" idx="2"/>
          <a:endCxn id="50" idx="0"/>
        </xdr:cNvCxnSpPr>
      </xdr:nvCxnSpPr>
      <xdr:spPr>
        <a:xfrm>
          <a:off x="8548688" y="6267450"/>
          <a:ext cx="4763" cy="266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114301</xdr:colOff>
      <xdr:row>38</xdr:row>
      <xdr:rowOff>28575</xdr:rowOff>
    </xdr:from>
    <xdr:to>
      <xdr:col>38</xdr:col>
      <xdr:colOff>119063</xdr:colOff>
      <xdr:row>39</xdr:row>
      <xdr:rowOff>104775</xdr:rowOff>
    </xdr:to>
    <xdr:cxnSp macro="">
      <xdr:nvCxnSpPr>
        <xdr:cNvPr id="103" name="直線矢印コネクタ 102">
          <a:extLst>
            <a:ext uri="{FF2B5EF4-FFF2-40B4-BE49-F238E27FC236}">
              <a16:creationId xmlns:a16="http://schemas.microsoft.com/office/drawing/2014/main" id="{DAE0853A-A986-383A-9ECE-12C66799D9F5}"/>
            </a:ext>
          </a:extLst>
        </xdr:cNvPr>
        <xdr:cNvCxnSpPr>
          <a:stCxn id="50" idx="2"/>
          <a:endCxn id="95" idx="0"/>
        </xdr:cNvCxnSpPr>
      </xdr:nvCxnSpPr>
      <xdr:spPr>
        <a:xfrm>
          <a:off x="8553451" y="7267575"/>
          <a:ext cx="4762" cy="266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33867</xdr:colOff>
      <xdr:row>30</xdr:row>
      <xdr:rowOff>171450</xdr:rowOff>
    </xdr:from>
    <xdr:to>
      <xdr:col>34</xdr:col>
      <xdr:colOff>66675</xdr:colOff>
      <xdr:row>46</xdr:row>
      <xdr:rowOff>180620</xdr:rowOff>
    </xdr:to>
    <xdr:cxnSp macro="">
      <xdr:nvCxnSpPr>
        <xdr:cNvPr id="112" name="コネクタ: カギ線 111">
          <a:extLst>
            <a:ext uri="{FF2B5EF4-FFF2-40B4-BE49-F238E27FC236}">
              <a16:creationId xmlns:a16="http://schemas.microsoft.com/office/drawing/2014/main" id="{652EFA01-F3BB-E1BE-C03E-62E4E94F2F60}"/>
            </a:ext>
          </a:extLst>
        </xdr:cNvPr>
        <xdr:cNvCxnSpPr>
          <a:stCxn id="21" idx="0"/>
          <a:endCxn id="49" idx="1"/>
        </xdr:cNvCxnSpPr>
      </xdr:nvCxnSpPr>
      <xdr:spPr>
        <a:xfrm rot="5400000" flipH="1" flipV="1">
          <a:off x="2522186" y="3836281"/>
          <a:ext cx="3057170" cy="7157508"/>
        </a:xfrm>
        <a:prstGeom prst="bent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33867</xdr:colOff>
      <xdr:row>44</xdr:row>
      <xdr:rowOff>19050</xdr:rowOff>
    </xdr:from>
    <xdr:to>
      <xdr:col>38</xdr:col>
      <xdr:colOff>119063</xdr:colOff>
      <xdr:row>46</xdr:row>
      <xdr:rowOff>180620</xdr:rowOff>
    </xdr:to>
    <xdr:cxnSp macro="">
      <xdr:nvCxnSpPr>
        <xdr:cNvPr id="115" name="コネクタ: カギ線 114">
          <a:extLst>
            <a:ext uri="{FF2B5EF4-FFF2-40B4-BE49-F238E27FC236}">
              <a16:creationId xmlns:a16="http://schemas.microsoft.com/office/drawing/2014/main" id="{CBE05E40-6772-9E68-2CB9-D2ACB7493ED8}"/>
            </a:ext>
          </a:extLst>
        </xdr:cNvPr>
        <xdr:cNvCxnSpPr>
          <a:stCxn id="95" idx="2"/>
          <a:endCxn id="21" idx="0"/>
        </xdr:cNvCxnSpPr>
      </xdr:nvCxnSpPr>
      <xdr:spPr>
        <a:xfrm rot="5400000">
          <a:off x="4243830" y="4629237"/>
          <a:ext cx="542570" cy="8086196"/>
        </a:xfrm>
        <a:prstGeom prst="bentConnector3">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57150</xdr:colOff>
      <xdr:row>89</xdr:row>
      <xdr:rowOff>0</xdr:rowOff>
    </xdr:from>
    <xdr:to>
      <xdr:col>26</xdr:col>
      <xdr:colOff>0</xdr:colOff>
      <xdr:row>93</xdr:row>
      <xdr:rowOff>19050</xdr:rowOff>
    </xdr:to>
    <xdr:sp macro="" textlink="">
      <xdr:nvSpPr>
        <xdr:cNvPr id="116" name="四角形: 角を丸くする 115">
          <a:extLst>
            <a:ext uri="{FF2B5EF4-FFF2-40B4-BE49-F238E27FC236}">
              <a16:creationId xmlns:a16="http://schemas.microsoft.com/office/drawing/2014/main" id="{EDC72740-0B02-42AB-9B2D-617478138F4D}"/>
            </a:ext>
          </a:extLst>
        </xdr:cNvPr>
        <xdr:cNvSpPr/>
      </xdr:nvSpPr>
      <xdr:spPr>
        <a:xfrm>
          <a:off x="4772025" y="16954500"/>
          <a:ext cx="1038225" cy="781050"/>
        </a:xfrm>
        <a:prstGeom prst="roundRect">
          <a:avLst/>
        </a:prstGeom>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atin typeface="+mn-lt"/>
              <a:ea typeface="+mn-ea"/>
            </a:rPr>
            <a:t>16-5.</a:t>
          </a:r>
          <a:r>
            <a:rPr lang="ja-JP" altLang="en-US" sz="1100">
              <a:latin typeface="+mn-ea"/>
              <a:ea typeface="+mn-ea"/>
            </a:rPr>
            <a:t>正常エラーファイル名設定</a:t>
          </a:r>
          <a:endParaRPr lang="en-US" sz="1100">
            <a:latin typeface="+mn-ea"/>
            <a:ea typeface="+mn-ea"/>
          </a:endParaRPr>
        </a:p>
      </xdr:txBody>
    </xdr:sp>
    <xdr:clientData/>
  </xdr:twoCellAnchor>
  <xdr:twoCellAnchor>
    <xdr:from>
      <xdr:col>17</xdr:col>
      <xdr:colOff>95250</xdr:colOff>
      <xdr:row>69</xdr:row>
      <xdr:rowOff>95250</xdr:rowOff>
    </xdr:from>
    <xdr:to>
      <xdr:col>21</xdr:col>
      <xdr:colOff>57150</xdr:colOff>
      <xdr:row>91</xdr:row>
      <xdr:rowOff>9525</xdr:rowOff>
    </xdr:to>
    <xdr:cxnSp macro="">
      <xdr:nvCxnSpPr>
        <xdr:cNvPr id="118" name="コネクタ: カギ線 117">
          <a:extLst>
            <a:ext uri="{FF2B5EF4-FFF2-40B4-BE49-F238E27FC236}">
              <a16:creationId xmlns:a16="http://schemas.microsoft.com/office/drawing/2014/main" id="{E4C73B35-78B2-E073-8D95-C75ACA0C0557}"/>
            </a:ext>
          </a:extLst>
        </xdr:cNvPr>
        <xdr:cNvCxnSpPr>
          <a:stCxn id="19" idx="3"/>
          <a:endCxn id="116" idx="1"/>
        </xdr:cNvCxnSpPr>
      </xdr:nvCxnSpPr>
      <xdr:spPr>
        <a:xfrm>
          <a:off x="3933825" y="13239750"/>
          <a:ext cx="838200" cy="4105275"/>
        </a:xfrm>
        <a:prstGeom prst="bentConnector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73</xdr:row>
      <xdr:rowOff>85726</xdr:rowOff>
    </xdr:from>
    <xdr:to>
      <xdr:col>31</xdr:col>
      <xdr:colOff>19050</xdr:colOff>
      <xdr:row>91</xdr:row>
      <xdr:rowOff>9525</xdr:rowOff>
    </xdr:to>
    <xdr:cxnSp macro="">
      <xdr:nvCxnSpPr>
        <xdr:cNvPr id="120" name="コネクタ: カギ線 119">
          <a:extLst>
            <a:ext uri="{FF2B5EF4-FFF2-40B4-BE49-F238E27FC236}">
              <a16:creationId xmlns:a16="http://schemas.microsoft.com/office/drawing/2014/main" id="{E95F9837-DF0A-CF5A-008B-37D3B75D8584}"/>
            </a:ext>
          </a:extLst>
        </xdr:cNvPr>
        <xdr:cNvCxnSpPr>
          <a:stCxn id="116" idx="3"/>
          <a:endCxn id="16" idx="1"/>
        </xdr:cNvCxnSpPr>
      </xdr:nvCxnSpPr>
      <xdr:spPr>
        <a:xfrm flipV="1">
          <a:off x="5810250" y="13992226"/>
          <a:ext cx="1114425" cy="3352799"/>
        </a:xfrm>
        <a:prstGeom prst="bentConnector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171450</xdr:colOff>
      <xdr:row>80</xdr:row>
      <xdr:rowOff>9525</xdr:rowOff>
    </xdr:from>
    <xdr:to>
      <xdr:col>38</xdr:col>
      <xdr:colOff>76200</xdr:colOff>
      <xdr:row>84</xdr:row>
      <xdr:rowOff>66675</xdr:rowOff>
    </xdr:to>
    <xdr:sp macro="" textlink="">
      <xdr:nvSpPr>
        <xdr:cNvPr id="121" name="四角形: 角を丸くする 120">
          <a:extLst>
            <a:ext uri="{FF2B5EF4-FFF2-40B4-BE49-F238E27FC236}">
              <a16:creationId xmlns:a16="http://schemas.microsoft.com/office/drawing/2014/main" id="{B8B1F109-77CE-40DA-BB35-08C207173495}"/>
            </a:ext>
          </a:extLst>
        </xdr:cNvPr>
        <xdr:cNvSpPr/>
      </xdr:nvSpPr>
      <xdr:spPr>
        <a:xfrm>
          <a:off x="6244590" y="17726025"/>
          <a:ext cx="1230630" cy="819150"/>
        </a:xfrm>
        <a:prstGeom prst="roundRect">
          <a:avLst/>
        </a:prstGeom>
        <a:solidFill>
          <a:schemeClr val="accent2"/>
        </a:solidFill>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atin typeface="+mn-lt"/>
              <a:ea typeface="+mn-ea"/>
            </a:rPr>
            <a:t>19-1</a:t>
          </a:r>
          <a:r>
            <a:rPr lang="en-US" sz="1100">
              <a:latin typeface="+mn-ea"/>
              <a:ea typeface="+mn-ea"/>
            </a:rPr>
            <a:t>.</a:t>
          </a:r>
          <a:r>
            <a:rPr lang="en-US" altLang="ja-JP" sz="1100">
              <a:latin typeface="+mn-ea"/>
              <a:ea typeface="+mn-ea"/>
            </a:rPr>
            <a:t>DSP</a:t>
          </a:r>
          <a:r>
            <a:rPr lang="ja-JP" altLang="en-US" sz="1100">
              <a:latin typeface="+mn-ea"/>
              <a:ea typeface="+mn-ea"/>
            </a:rPr>
            <a:t>エラー履歴テーブル更新データ作成</a:t>
          </a:r>
          <a:endParaRPr lang="en-US" sz="1100">
            <a:latin typeface="+mn-ea"/>
            <a:ea typeface="+mn-ea"/>
          </a:endParaRPr>
        </a:p>
      </xdr:txBody>
    </xdr:sp>
    <xdr:clientData/>
  </xdr:twoCellAnchor>
  <xdr:twoCellAnchor>
    <xdr:from>
      <xdr:col>39</xdr:col>
      <xdr:colOff>190500</xdr:colOff>
      <xdr:row>80</xdr:row>
      <xdr:rowOff>28575</xdr:rowOff>
    </xdr:from>
    <xdr:to>
      <xdr:col>45</xdr:col>
      <xdr:colOff>161925</xdr:colOff>
      <xdr:row>84</xdr:row>
      <xdr:rowOff>47625</xdr:rowOff>
    </xdr:to>
    <xdr:sp macro="" textlink="">
      <xdr:nvSpPr>
        <xdr:cNvPr id="122" name="四角形: 角を丸くする 121">
          <a:extLst>
            <a:ext uri="{FF2B5EF4-FFF2-40B4-BE49-F238E27FC236}">
              <a16:creationId xmlns:a16="http://schemas.microsoft.com/office/drawing/2014/main" id="{0F4443A8-FCB1-4B1A-BCE6-DF424DE57B8A}"/>
            </a:ext>
          </a:extLst>
        </xdr:cNvPr>
        <xdr:cNvSpPr/>
      </xdr:nvSpPr>
      <xdr:spPr>
        <a:xfrm>
          <a:off x="7810500" y="17745075"/>
          <a:ext cx="1297305" cy="781050"/>
        </a:xfrm>
        <a:prstGeom prst="roundRect">
          <a:avLst/>
        </a:prstGeom>
        <a:solidFill>
          <a:schemeClr val="accent2"/>
        </a:solidFill>
        <a:ln w="158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atin typeface="+mn-lt"/>
              <a:ea typeface="+mn-ea"/>
            </a:rPr>
            <a:t>19-2</a:t>
          </a:r>
          <a:r>
            <a:rPr lang="en-US" sz="1100">
              <a:latin typeface="+mn-ea"/>
              <a:ea typeface="+mn-ea"/>
            </a:rPr>
            <a:t>.</a:t>
          </a:r>
          <a:r>
            <a:rPr lang="en-US" altLang="ja-JP" sz="1100">
              <a:latin typeface="+mn-ea"/>
              <a:ea typeface="+mn-ea"/>
            </a:rPr>
            <a:t>DSP</a:t>
          </a:r>
          <a:r>
            <a:rPr lang="ja-JP" altLang="en-US" sz="1100">
              <a:latin typeface="+mn-ea"/>
              <a:ea typeface="+mn-ea"/>
            </a:rPr>
            <a:t>エラー履歴テーブルデータ更新</a:t>
          </a:r>
          <a:endParaRPr lang="en-US" sz="1100">
            <a:latin typeface="+mn-ea"/>
            <a:ea typeface="+mn-ea"/>
          </a:endParaRPr>
        </a:p>
      </xdr:txBody>
    </xdr:sp>
    <xdr:clientData/>
  </xdr:twoCellAnchor>
  <xdr:twoCellAnchor>
    <xdr:from>
      <xdr:col>38</xdr:col>
      <xdr:colOff>76200</xdr:colOff>
      <xdr:row>82</xdr:row>
      <xdr:rowOff>38100</xdr:rowOff>
    </xdr:from>
    <xdr:to>
      <xdr:col>39</xdr:col>
      <xdr:colOff>190500</xdr:colOff>
      <xdr:row>82</xdr:row>
      <xdr:rowOff>38100</xdr:rowOff>
    </xdr:to>
    <xdr:cxnSp macro="">
      <xdr:nvCxnSpPr>
        <xdr:cNvPr id="124" name="直線矢印コネクタ 123">
          <a:extLst>
            <a:ext uri="{FF2B5EF4-FFF2-40B4-BE49-F238E27FC236}">
              <a16:creationId xmlns:a16="http://schemas.microsoft.com/office/drawing/2014/main" id="{D2530474-5E64-41D3-AE17-CC45873B37C1}"/>
            </a:ext>
          </a:extLst>
        </xdr:cNvPr>
        <xdr:cNvCxnSpPr>
          <a:stCxn id="121" idx="3"/>
          <a:endCxn id="122" idx="1"/>
        </xdr:cNvCxnSpPr>
      </xdr:nvCxnSpPr>
      <xdr:spPr>
        <a:xfrm>
          <a:off x="7475220" y="18135600"/>
          <a:ext cx="33528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28575</xdr:colOff>
      <xdr:row>69</xdr:row>
      <xdr:rowOff>95250</xdr:rowOff>
    </xdr:from>
    <xdr:to>
      <xdr:col>32</xdr:col>
      <xdr:colOff>171450</xdr:colOff>
      <xdr:row>82</xdr:row>
      <xdr:rowOff>38100</xdr:rowOff>
    </xdr:to>
    <xdr:cxnSp macro="">
      <xdr:nvCxnSpPr>
        <xdr:cNvPr id="126" name="コネクタ: カギ線 125">
          <a:extLst>
            <a:ext uri="{FF2B5EF4-FFF2-40B4-BE49-F238E27FC236}">
              <a16:creationId xmlns:a16="http://schemas.microsoft.com/office/drawing/2014/main" id="{6B6D21F7-13A8-BC08-C9E1-1FA69BD551DA}"/>
            </a:ext>
          </a:extLst>
        </xdr:cNvPr>
        <xdr:cNvCxnSpPr>
          <a:stCxn id="20" idx="3"/>
          <a:endCxn id="121" idx="1"/>
        </xdr:cNvCxnSpPr>
      </xdr:nvCxnSpPr>
      <xdr:spPr>
        <a:xfrm>
          <a:off x="5838825" y="13239750"/>
          <a:ext cx="1457325" cy="2419350"/>
        </a:xfrm>
        <a:prstGeom prst="bentConnector3">
          <a:avLst>
            <a:gd name="adj1" fmla="val 50000"/>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138113</xdr:colOff>
      <xdr:row>84</xdr:row>
      <xdr:rowOff>66675</xdr:rowOff>
    </xdr:from>
    <xdr:to>
      <xdr:col>35</xdr:col>
      <xdr:colOff>123825</xdr:colOff>
      <xdr:row>93</xdr:row>
      <xdr:rowOff>19050</xdr:rowOff>
    </xdr:to>
    <xdr:cxnSp macro="">
      <xdr:nvCxnSpPr>
        <xdr:cNvPr id="133" name="コネクタ: カギ線 132">
          <a:extLst>
            <a:ext uri="{FF2B5EF4-FFF2-40B4-BE49-F238E27FC236}">
              <a16:creationId xmlns:a16="http://schemas.microsoft.com/office/drawing/2014/main" id="{6ADA6672-1441-8082-CA40-DE536DC3B8EC}"/>
            </a:ext>
          </a:extLst>
        </xdr:cNvPr>
        <xdr:cNvCxnSpPr>
          <a:stCxn id="116" idx="2"/>
          <a:endCxn id="121" idx="2"/>
        </xdr:cNvCxnSpPr>
      </xdr:nvCxnSpPr>
      <xdr:spPr>
        <a:xfrm rot="5400000" flipH="1" flipV="1">
          <a:off x="5765006" y="15594807"/>
          <a:ext cx="1666875" cy="2614612"/>
        </a:xfrm>
        <a:prstGeom prst="bentConnector3">
          <a:avLst>
            <a:gd name="adj1" fmla="val -13714"/>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40</xdr:col>
      <xdr:colOff>57150</xdr:colOff>
      <xdr:row>67</xdr:row>
      <xdr:rowOff>38102</xdr:rowOff>
    </xdr:from>
    <xdr:to>
      <xdr:col>40</xdr:col>
      <xdr:colOff>190499</xdr:colOff>
      <xdr:row>71</xdr:row>
      <xdr:rowOff>131671</xdr:rowOff>
    </xdr:to>
    <xdr:cxnSp macro="">
      <xdr:nvCxnSpPr>
        <xdr:cNvPr id="138" name="コネクタ: カギ線 137">
          <a:extLst>
            <a:ext uri="{FF2B5EF4-FFF2-40B4-BE49-F238E27FC236}">
              <a16:creationId xmlns:a16="http://schemas.microsoft.com/office/drawing/2014/main" id="{E5263EEF-F779-9C20-9D0E-6577C4D1706C}"/>
            </a:ext>
          </a:extLst>
        </xdr:cNvPr>
        <xdr:cNvCxnSpPr>
          <a:stCxn id="34" idx="0"/>
          <a:endCxn id="78" idx="1"/>
        </xdr:cNvCxnSpPr>
      </xdr:nvCxnSpPr>
      <xdr:spPr>
        <a:xfrm rot="5400000" flipH="1" flipV="1">
          <a:off x="8573340" y="13162712"/>
          <a:ext cx="855569" cy="13334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161925</xdr:colOff>
      <xdr:row>67</xdr:row>
      <xdr:rowOff>38101</xdr:rowOff>
    </xdr:from>
    <xdr:to>
      <xdr:col>45</xdr:col>
      <xdr:colOff>200025</xdr:colOff>
      <xdr:row>82</xdr:row>
      <xdr:rowOff>38100</xdr:rowOff>
    </xdr:to>
    <xdr:cxnSp macro="">
      <xdr:nvCxnSpPr>
        <xdr:cNvPr id="146" name="コネクタ: カギ線 145">
          <a:extLst>
            <a:ext uri="{FF2B5EF4-FFF2-40B4-BE49-F238E27FC236}">
              <a16:creationId xmlns:a16="http://schemas.microsoft.com/office/drawing/2014/main" id="{F583C1A2-2C6E-A206-87C2-0E2EC0736DBC}"/>
            </a:ext>
          </a:extLst>
        </xdr:cNvPr>
        <xdr:cNvCxnSpPr>
          <a:stCxn id="122" idx="3"/>
          <a:endCxn id="78" idx="3"/>
        </xdr:cNvCxnSpPr>
      </xdr:nvCxnSpPr>
      <xdr:spPr>
        <a:xfrm flipV="1">
          <a:off x="10134600" y="12801601"/>
          <a:ext cx="38100" cy="2857499"/>
        </a:xfrm>
        <a:prstGeom prst="bentConnector3">
          <a:avLst>
            <a:gd name="adj1" fmla="val 70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28575</xdr:colOff>
      <xdr:row>105</xdr:row>
      <xdr:rowOff>157162</xdr:rowOff>
    </xdr:from>
    <xdr:to>
      <xdr:col>27</xdr:col>
      <xdr:colOff>190500</xdr:colOff>
      <xdr:row>105</xdr:row>
      <xdr:rowOff>161925</xdr:rowOff>
    </xdr:to>
    <xdr:cxnSp macro="">
      <xdr:nvCxnSpPr>
        <xdr:cNvPr id="123" name="直線矢印コネクタ 122">
          <a:extLst>
            <a:ext uri="{FF2B5EF4-FFF2-40B4-BE49-F238E27FC236}">
              <a16:creationId xmlns:a16="http://schemas.microsoft.com/office/drawing/2014/main" id="{441B2208-E2E2-BCCB-40AD-E6C216C38EC1}"/>
            </a:ext>
          </a:extLst>
        </xdr:cNvPr>
        <xdr:cNvCxnSpPr>
          <a:stCxn id="90" idx="3"/>
          <a:endCxn id="89" idx="1"/>
        </xdr:cNvCxnSpPr>
      </xdr:nvCxnSpPr>
      <xdr:spPr>
        <a:xfrm>
          <a:off x="5619750" y="20159662"/>
          <a:ext cx="600075" cy="47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22413</xdr:colOff>
      <xdr:row>5</xdr:row>
      <xdr:rowOff>11206</xdr:rowOff>
    </xdr:from>
    <xdr:to>
      <xdr:col>14</xdr:col>
      <xdr:colOff>1098176</xdr:colOff>
      <xdr:row>19</xdr:row>
      <xdr:rowOff>11206</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22413" y="1068481"/>
          <a:ext cx="13591613" cy="3571875"/>
        </a:xfrm>
        <a:prstGeom prst="rect">
          <a:avLst/>
        </a:prstGeom>
        <a:solidFill>
          <a:schemeClr val="accent1">
            <a:lumMod val="20000"/>
            <a:lumOff val="80000"/>
            <a:alpha val="62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送信元</a:t>
          </a:r>
          <a:r>
            <a:rPr kumimoji="1" lang="en-US" altLang="ja-JP"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情報の記載</a:t>
          </a:r>
          <a:r>
            <a:rPr kumimoji="1" lang="en-US" altLang="ja-JP"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要件定義にて入力</a:t>
          </a:r>
          <a:endParaRPr kumimoji="1" lang="ja-JP" altLang="en-US" sz="110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15</xdr:col>
      <xdr:colOff>22411</xdr:colOff>
      <xdr:row>5</xdr:row>
      <xdr:rowOff>6724</xdr:rowOff>
    </xdr:from>
    <xdr:to>
      <xdr:col>17</xdr:col>
      <xdr:colOff>2427193</xdr:colOff>
      <xdr:row>19</xdr:row>
      <xdr:rowOff>6724</xdr:rowOff>
    </xdr:to>
    <xdr:sp macro="" textlink="">
      <xdr:nvSpPr>
        <xdr:cNvPr id="3" name="正方形/長方形 2">
          <a:extLst>
            <a:ext uri="{FF2B5EF4-FFF2-40B4-BE49-F238E27FC236}">
              <a16:creationId xmlns:a16="http://schemas.microsoft.com/office/drawing/2014/main" id="{00000000-0008-0000-0E00-000003000000}"/>
            </a:ext>
          </a:extLst>
        </xdr:cNvPr>
        <xdr:cNvSpPr/>
      </xdr:nvSpPr>
      <xdr:spPr>
        <a:xfrm>
          <a:off x="13652686" y="1063999"/>
          <a:ext cx="4014507" cy="3571875"/>
        </a:xfrm>
        <a:prstGeom prst="rect">
          <a:avLst/>
        </a:prstGeom>
        <a:solidFill>
          <a:schemeClr val="accent1">
            <a:lumMod val="20000"/>
            <a:lumOff val="80000"/>
            <a:alpha val="62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マッピング情報の記載（送信元</a:t>
          </a:r>
          <a:r>
            <a:rPr kumimoji="1" lang="en-US" altLang="ja-JP"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情報）</a:t>
          </a:r>
          <a:endParaRPr kumimoji="1" lang="en-US" altLang="ja-JP"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要件定義にて入力</a:t>
          </a:r>
          <a:endParaRPr kumimoji="1" lang="en-US" altLang="ja-JP" sz="2800" noProof="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18</xdr:col>
      <xdr:colOff>17969</xdr:colOff>
      <xdr:row>5</xdr:row>
      <xdr:rowOff>13446</xdr:rowOff>
    </xdr:from>
    <xdr:to>
      <xdr:col>26</xdr:col>
      <xdr:colOff>0</xdr:colOff>
      <xdr:row>19</xdr:row>
      <xdr:rowOff>13446</xdr:rowOff>
    </xdr:to>
    <xdr:sp macro="" textlink="">
      <xdr:nvSpPr>
        <xdr:cNvPr id="4" name="正方形/長方形 3">
          <a:extLst>
            <a:ext uri="{FF2B5EF4-FFF2-40B4-BE49-F238E27FC236}">
              <a16:creationId xmlns:a16="http://schemas.microsoft.com/office/drawing/2014/main" id="{00000000-0008-0000-0E00-000004000000}"/>
            </a:ext>
          </a:extLst>
        </xdr:cNvPr>
        <xdr:cNvSpPr/>
      </xdr:nvSpPr>
      <xdr:spPr>
        <a:xfrm>
          <a:off x="17686844" y="1070721"/>
          <a:ext cx="10354756" cy="3571875"/>
        </a:xfrm>
        <a:prstGeom prst="rect">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マッピング情報の記載</a:t>
          </a:r>
          <a:endParaRPr kumimoji="1" lang="en-US" altLang="ja-JP"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a:t>
          </a:r>
          <a:endParaRPr kumimoji="1" lang="en-US" altLang="ja-JP"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要件定義にて入力</a:t>
          </a:r>
          <a:endPar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25</xdr:col>
      <xdr:colOff>1750219</xdr:colOff>
      <xdr:row>20</xdr:row>
      <xdr:rowOff>190499</xdr:rowOff>
    </xdr:from>
    <xdr:to>
      <xdr:col>27</xdr:col>
      <xdr:colOff>1127125</xdr:colOff>
      <xdr:row>27</xdr:row>
      <xdr:rowOff>39689</xdr:rowOff>
    </xdr:to>
    <xdr:sp macro="" textlink="">
      <xdr:nvSpPr>
        <xdr:cNvPr id="5" name="四角形吹き出し 4">
          <a:extLst>
            <a:ext uri="{FF2B5EF4-FFF2-40B4-BE49-F238E27FC236}">
              <a16:creationId xmlns:a16="http://schemas.microsoft.com/office/drawing/2014/main" id="{00000000-0008-0000-0E00-000005000000}"/>
            </a:ext>
          </a:extLst>
        </xdr:cNvPr>
        <xdr:cNvSpPr/>
      </xdr:nvSpPr>
      <xdr:spPr>
        <a:xfrm>
          <a:off x="27362944" y="5029199"/>
          <a:ext cx="2139156" cy="1316040"/>
        </a:xfrm>
        <a:prstGeom prst="wedgeRectCallout">
          <a:avLst>
            <a:gd name="adj1" fmla="val 20354"/>
            <a:gd name="adj2" fmla="val -74583"/>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Idoc</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形式の場合（必須）</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IdocParentStructure</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を記載</a:t>
          </a:r>
          <a:endPar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Idoc</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以外は不要</a:t>
          </a:r>
        </a:p>
      </xdr:txBody>
    </xdr:sp>
    <xdr:clientData/>
  </xdr:twoCellAnchor>
  <xdr:twoCellAnchor>
    <xdr:from>
      <xdr:col>28</xdr:col>
      <xdr:colOff>55581</xdr:colOff>
      <xdr:row>20</xdr:row>
      <xdr:rowOff>198435</xdr:rowOff>
    </xdr:from>
    <xdr:to>
      <xdr:col>28</xdr:col>
      <xdr:colOff>1285875</xdr:colOff>
      <xdr:row>27</xdr:row>
      <xdr:rowOff>47625</xdr:rowOff>
    </xdr:to>
    <xdr:sp macro="" textlink="">
      <xdr:nvSpPr>
        <xdr:cNvPr id="6" name="四角形吹き出し 5">
          <a:extLst>
            <a:ext uri="{FF2B5EF4-FFF2-40B4-BE49-F238E27FC236}">
              <a16:creationId xmlns:a16="http://schemas.microsoft.com/office/drawing/2014/main" id="{00000000-0008-0000-0E00-000006000000}"/>
            </a:ext>
          </a:extLst>
        </xdr:cNvPr>
        <xdr:cNvSpPr/>
      </xdr:nvSpPr>
      <xdr:spPr>
        <a:xfrm>
          <a:off x="29640231" y="5037135"/>
          <a:ext cx="1230294" cy="1316040"/>
        </a:xfrm>
        <a:prstGeom prst="wedgeRectCallout">
          <a:avLst>
            <a:gd name="adj1" fmla="val -15033"/>
            <a:gd name="adj2" fmla="val -73701"/>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論理項目名を記載（必須）</a:t>
          </a:r>
        </a:p>
      </xdr:txBody>
    </xdr:sp>
    <xdr:clientData/>
  </xdr:twoCellAnchor>
  <xdr:twoCellAnchor>
    <xdr:from>
      <xdr:col>28</xdr:col>
      <xdr:colOff>1410487</xdr:colOff>
      <xdr:row>20</xdr:row>
      <xdr:rowOff>207963</xdr:rowOff>
    </xdr:from>
    <xdr:to>
      <xdr:col>29</xdr:col>
      <xdr:colOff>476250</xdr:colOff>
      <xdr:row>27</xdr:row>
      <xdr:rowOff>47625</xdr:rowOff>
    </xdr:to>
    <xdr:sp macro="" textlink="">
      <xdr:nvSpPr>
        <xdr:cNvPr id="7" name="四角形吹き出し 6">
          <a:extLst>
            <a:ext uri="{FF2B5EF4-FFF2-40B4-BE49-F238E27FC236}">
              <a16:creationId xmlns:a16="http://schemas.microsoft.com/office/drawing/2014/main" id="{00000000-0008-0000-0E00-000007000000}"/>
            </a:ext>
          </a:extLst>
        </xdr:cNvPr>
        <xdr:cNvSpPr/>
      </xdr:nvSpPr>
      <xdr:spPr>
        <a:xfrm>
          <a:off x="30995137" y="5046663"/>
          <a:ext cx="1256513" cy="1306512"/>
        </a:xfrm>
        <a:prstGeom prst="wedgeRectCallout">
          <a:avLst>
            <a:gd name="adj1" fmla="val 23676"/>
            <a:gd name="adj2" fmla="val -73311"/>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物理項目名を記載（任意）</a:t>
          </a:r>
        </a:p>
      </xdr:txBody>
    </xdr:sp>
    <xdr:clientData/>
  </xdr:twoCellAnchor>
  <xdr:twoCellAnchor>
    <xdr:from>
      <xdr:col>29</xdr:col>
      <xdr:colOff>607219</xdr:colOff>
      <xdr:row>20</xdr:row>
      <xdr:rowOff>193679</xdr:rowOff>
    </xdr:from>
    <xdr:to>
      <xdr:col>30</xdr:col>
      <xdr:colOff>857250</xdr:colOff>
      <xdr:row>27</xdr:row>
      <xdr:rowOff>59533</xdr:rowOff>
    </xdr:to>
    <xdr:sp macro="" textlink="">
      <xdr:nvSpPr>
        <xdr:cNvPr id="8" name="四角形吹き出し 7">
          <a:extLst>
            <a:ext uri="{FF2B5EF4-FFF2-40B4-BE49-F238E27FC236}">
              <a16:creationId xmlns:a16="http://schemas.microsoft.com/office/drawing/2014/main" id="{00000000-0008-0000-0E00-000008000000}"/>
            </a:ext>
          </a:extLst>
        </xdr:cNvPr>
        <xdr:cNvSpPr/>
      </xdr:nvSpPr>
      <xdr:spPr>
        <a:xfrm>
          <a:off x="32382619" y="5032379"/>
          <a:ext cx="2516981" cy="1332704"/>
        </a:xfrm>
        <a:prstGeom prst="wedgeRectCallout">
          <a:avLst>
            <a:gd name="adj1" fmla="val 20613"/>
            <a:gd name="adj2" fmla="val -72867"/>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ファイル連携では</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CHAR/NUMBER</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のいずれかを記載（必須）</a:t>
          </a:r>
          <a:endPar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DBLINK</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連携では取り込みテーブルの項目型を記載（必須）</a:t>
          </a:r>
        </a:p>
      </xdr:txBody>
    </xdr:sp>
    <xdr:clientData/>
  </xdr:twoCellAnchor>
  <xdr:twoCellAnchor>
    <xdr:from>
      <xdr:col>31</xdr:col>
      <xdr:colOff>45193</xdr:colOff>
      <xdr:row>20</xdr:row>
      <xdr:rowOff>191301</xdr:rowOff>
    </xdr:from>
    <xdr:to>
      <xdr:col>34</xdr:col>
      <xdr:colOff>11907</xdr:colOff>
      <xdr:row>27</xdr:row>
      <xdr:rowOff>57155</xdr:rowOff>
    </xdr:to>
    <xdr:sp macro="" textlink="">
      <xdr:nvSpPr>
        <xdr:cNvPr id="9" name="四角形吹き出し 8">
          <a:extLst>
            <a:ext uri="{FF2B5EF4-FFF2-40B4-BE49-F238E27FC236}">
              <a16:creationId xmlns:a16="http://schemas.microsoft.com/office/drawing/2014/main" id="{00000000-0008-0000-0E00-000009000000}"/>
            </a:ext>
          </a:extLst>
        </xdr:cNvPr>
        <xdr:cNvSpPr/>
      </xdr:nvSpPr>
      <xdr:spPr>
        <a:xfrm>
          <a:off x="34973368" y="5030001"/>
          <a:ext cx="1795514" cy="1332704"/>
        </a:xfrm>
        <a:prstGeom prst="wedgeRectCallout">
          <a:avLst>
            <a:gd name="adj1" fmla="val 20613"/>
            <a:gd name="adj2" fmla="val -72867"/>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データ型</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CHAR</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ではバイト数を記載（必須）</a:t>
          </a:r>
          <a:endPar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データ型</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NUMBER</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では整数</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小数</a:t>
          </a:r>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バイト数を記載（必須）</a:t>
          </a:r>
        </a:p>
      </xdr:txBody>
    </xdr:sp>
    <xdr:clientData/>
  </xdr:twoCellAnchor>
  <xdr:twoCellAnchor>
    <xdr:from>
      <xdr:col>34</xdr:col>
      <xdr:colOff>78495</xdr:colOff>
      <xdr:row>20</xdr:row>
      <xdr:rowOff>188923</xdr:rowOff>
    </xdr:from>
    <xdr:to>
      <xdr:col>36</xdr:col>
      <xdr:colOff>738188</xdr:colOff>
      <xdr:row>27</xdr:row>
      <xdr:rowOff>54777</xdr:rowOff>
    </xdr:to>
    <xdr:sp macro="" textlink="">
      <xdr:nvSpPr>
        <xdr:cNvPr id="10" name="四角形吹き出し 9">
          <a:extLst>
            <a:ext uri="{FF2B5EF4-FFF2-40B4-BE49-F238E27FC236}">
              <a16:creationId xmlns:a16="http://schemas.microsoft.com/office/drawing/2014/main" id="{00000000-0008-0000-0E00-00000A000000}"/>
            </a:ext>
          </a:extLst>
        </xdr:cNvPr>
        <xdr:cNvSpPr/>
      </xdr:nvSpPr>
      <xdr:spPr>
        <a:xfrm>
          <a:off x="36835470" y="5027623"/>
          <a:ext cx="1383593" cy="1332704"/>
        </a:xfrm>
        <a:prstGeom prst="wedgeRectCallout">
          <a:avLst>
            <a:gd name="adj1" fmla="val -25324"/>
            <a:gd name="adj2" fmla="val -73739"/>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キー項目、必須項目がわかれば記載（任意）</a:t>
          </a:r>
        </a:p>
      </xdr:txBody>
    </xdr:sp>
    <xdr:clientData/>
  </xdr:twoCellAnchor>
  <xdr:twoCellAnchor>
    <xdr:from>
      <xdr:col>36</xdr:col>
      <xdr:colOff>814274</xdr:colOff>
      <xdr:row>20</xdr:row>
      <xdr:rowOff>210357</xdr:rowOff>
    </xdr:from>
    <xdr:to>
      <xdr:col>37</xdr:col>
      <xdr:colOff>80936</xdr:colOff>
      <xdr:row>27</xdr:row>
      <xdr:rowOff>76211</xdr:rowOff>
    </xdr:to>
    <xdr:sp macro="" textlink="">
      <xdr:nvSpPr>
        <xdr:cNvPr id="11" name="四角形吹き出し 10">
          <a:extLst>
            <a:ext uri="{FF2B5EF4-FFF2-40B4-BE49-F238E27FC236}">
              <a16:creationId xmlns:a16="http://schemas.microsoft.com/office/drawing/2014/main" id="{00000000-0008-0000-0E00-00000B000000}"/>
            </a:ext>
          </a:extLst>
        </xdr:cNvPr>
        <xdr:cNvSpPr/>
      </xdr:nvSpPr>
      <xdr:spPr>
        <a:xfrm>
          <a:off x="38295149" y="5049057"/>
          <a:ext cx="1371687" cy="1332704"/>
        </a:xfrm>
        <a:prstGeom prst="wedgeRectCallout">
          <a:avLst>
            <a:gd name="adj1" fmla="val -25324"/>
            <a:gd name="adj2" fmla="val -73739"/>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項目説明があれば記載（任意）</a:t>
          </a:r>
        </a:p>
      </xdr:txBody>
    </xdr:sp>
    <xdr:clientData/>
  </xdr:twoCellAnchor>
  <xdr:twoCellAnchor>
    <xdr:from>
      <xdr:col>37</xdr:col>
      <xdr:colOff>168928</xdr:colOff>
      <xdr:row>21</xdr:row>
      <xdr:rowOff>5572</xdr:rowOff>
    </xdr:from>
    <xdr:to>
      <xdr:col>38</xdr:col>
      <xdr:colOff>7090</xdr:colOff>
      <xdr:row>27</xdr:row>
      <xdr:rowOff>85739</xdr:rowOff>
    </xdr:to>
    <xdr:sp macro="" textlink="">
      <xdr:nvSpPr>
        <xdr:cNvPr id="12" name="四角形吹き出し 11">
          <a:extLst>
            <a:ext uri="{FF2B5EF4-FFF2-40B4-BE49-F238E27FC236}">
              <a16:creationId xmlns:a16="http://schemas.microsoft.com/office/drawing/2014/main" id="{00000000-0008-0000-0E00-00000C000000}"/>
            </a:ext>
          </a:extLst>
        </xdr:cNvPr>
        <xdr:cNvSpPr/>
      </xdr:nvSpPr>
      <xdr:spPr>
        <a:xfrm>
          <a:off x="39754828" y="5053822"/>
          <a:ext cx="1371687" cy="1337467"/>
        </a:xfrm>
        <a:prstGeom prst="wedgeRectCallout">
          <a:avLst>
            <a:gd name="adj1" fmla="val -25324"/>
            <a:gd name="adj2" fmla="val -73739"/>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ファイルの設定方法を記載（任意）</a:t>
          </a:r>
        </a:p>
      </xdr:txBody>
    </xdr:sp>
    <xdr:clientData/>
  </xdr:twoCellAnchor>
  <xdr:twoCellAnchor>
    <xdr:from>
      <xdr:col>38</xdr:col>
      <xdr:colOff>106988</xdr:colOff>
      <xdr:row>21</xdr:row>
      <xdr:rowOff>3194</xdr:rowOff>
    </xdr:from>
    <xdr:to>
      <xdr:col>39</xdr:col>
      <xdr:colOff>326150</xdr:colOff>
      <xdr:row>27</xdr:row>
      <xdr:rowOff>83361</xdr:rowOff>
    </xdr:to>
    <xdr:sp macro="" textlink="">
      <xdr:nvSpPr>
        <xdr:cNvPr id="13" name="四角形吹き出し 12">
          <a:extLst>
            <a:ext uri="{FF2B5EF4-FFF2-40B4-BE49-F238E27FC236}">
              <a16:creationId xmlns:a16="http://schemas.microsoft.com/office/drawing/2014/main" id="{00000000-0008-0000-0E00-00000D000000}"/>
            </a:ext>
          </a:extLst>
        </xdr:cNvPr>
        <xdr:cNvSpPr/>
      </xdr:nvSpPr>
      <xdr:spPr>
        <a:xfrm>
          <a:off x="41226413" y="5051444"/>
          <a:ext cx="1371687" cy="1337467"/>
        </a:xfrm>
        <a:prstGeom prst="wedgeRectCallout">
          <a:avLst>
            <a:gd name="adj1" fmla="val -25324"/>
            <a:gd name="adj2" fmla="val -73739"/>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設定値例にはサンプルデータを記載（任意）</a:t>
          </a:r>
        </a:p>
      </xdr:txBody>
    </xdr:sp>
    <xdr:clientData/>
  </xdr:twoCellAnchor>
  <xdr:twoCellAnchor>
    <xdr:from>
      <xdr:col>39</xdr:col>
      <xdr:colOff>390330</xdr:colOff>
      <xdr:row>21</xdr:row>
      <xdr:rowOff>816</xdr:rowOff>
    </xdr:from>
    <xdr:to>
      <xdr:col>40</xdr:col>
      <xdr:colOff>347554</xdr:colOff>
      <xdr:row>27</xdr:row>
      <xdr:rowOff>80983</xdr:rowOff>
    </xdr:to>
    <xdr:sp macro="" textlink="">
      <xdr:nvSpPr>
        <xdr:cNvPr id="14" name="四角形吹き出し 13">
          <a:extLst>
            <a:ext uri="{FF2B5EF4-FFF2-40B4-BE49-F238E27FC236}">
              <a16:creationId xmlns:a16="http://schemas.microsoft.com/office/drawing/2014/main" id="{00000000-0008-0000-0E00-00000E000000}"/>
            </a:ext>
          </a:extLst>
        </xdr:cNvPr>
        <xdr:cNvSpPr/>
      </xdr:nvSpPr>
      <xdr:spPr>
        <a:xfrm>
          <a:off x="42662280" y="5049066"/>
          <a:ext cx="1376449" cy="1337467"/>
        </a:xfrm>
        <a:prstGeom prst="wedgeRectCallout">
          <a:avLst>
            <a:gd name="adj1" fmla="val -25324"/>
            <a:gd name="adj2" fmla="val -73739"/>
          </a:avLst>
        </a:prstGeom>
        <a:solidFill>
          <a:srgbClr val="FFFFCC"/>
        </a:solidFill>
        <a:ln>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C00000"/>
              </a:solidFill>
              <a:latin typeface="メイリオ" panose="020B0604030504040204" pitchFamily="50" charset="-128"/>
              <a:ea typeface="メイリオ" panose="020B0604030504040204" pitchFamily="50" charset="-128"/>
              <a:cs typeface="メイリオ" panose="020B0604030504040204" pitchFamily="50" charset="-128"/>
            </a:rPr>
            <a:t>設定値がコード値の場合（必須）コード値を記載</a:t>
          </a:r>
        </a:p>
      </xdr:txBody>
    </xdr:sp>
    <xdr:clientData/>
  </xdr:twoCellAnchor>
  <xdr:twoCellAnchor>
    <xdr:from>
      <xdr:col>0</xdr:col>
      <xdr:colOff>142875</xdr:colOff>
      <xdr:row>29</xdr:row>
      <xdr:rowOff>190500</xdr:rowOff>
    </xdr:from>
    <xdr:to>
      <xdr:col>17</xdr:col>
      <xdr:colOff>2238375</xdr:colOff>
      <xdr:row>34</xdr:row>
      <xdr:rowOff>31750</xdr:rowOff>
    </xdr:to>
    <xdr:sp macro="" textlink="">
      <xdr:nvSpPr>
        <xdr:cNvPr id="15" name="左右矢印 14">
          <a:extLst>
            <a:ext uri="{FF2B5EF4-FFF2-40B4-BE49-F238E27FC236}">
              <a16:creationId xmlns:a16="http://schemas.microsoft.com/office/drawing/2014/main" id="{00000000-0008-0000-0E00-00000F000000}"/>
            </a:ext>
          </a:extLst>
        </xdr:cNvPr>
        <xdr:cNvSpPr/>
      </xdr:nvSpPr>
      <xdr:spPr>
        <a:xfrm>
          <a:off x="142875" y="6842125"/>
          <a:ext cx="17335500" cy="873125"/>
        </a:xfrm>
        <a:prstGeom prst="leftRight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送信インタフェースレイアウトが確定した段階で記載</a:t>
          </a:r>
        </a:p>
      </xdr:txBody>
    </xdr:sp>
    <xdr:clientData/>
  </xdr:twoCellAnchor>
  <xdr:twoCellAnchor>
    <xdr:from>
      <xdr:col>17</xdr:col>
      <xdr:colOff>2333625</xdr:colOff>
      <xdr:row>29</xdr:row>
      <xdr:rowOff>190500</xdr:rowOff>
    </xdr:from>
    <xdr:to>
      <xdr:col>25</xdr:col>
      <xdr:colOff>2365375</xdr:colOff>
      <xdr:row>34</xdr:row>
      <xdr:rowOff>31750</xdr:rowOff>
    </xdr:to>
    <xdr:sp macro="" textlink="">
      <xdr:nvSpPr>
        <xdr:cNvPr id="16" name="左右矢印 15">
          <a:extLst>
            <a:ext uri="{FF2B5EF4-FFF2-40B4-BE49-F238E27FC236}">
              <a16:creationId xmlns:a16="http://schemas.microsoft.com/office/drawing/2014/main" id="{00000000-0008-0000-0E00-000010000000}"/>
            </a:ext>
          </a:extLst>
        </xdr:cNvPr>
        <xdr:cNvSpPr/>
      </xdr:nvSpPr>
      <xdr:spPr>
        <a:xfrm>
          <a:off x="17573625" y="6842125"/>
          <a:ext cx="10429875" cy="873125"/>
        </a:xfrm>
        <a:prstGeom prst="leftRightArrow">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ja-JP" sz="2400">
              <a:solidFill>
                <a:schemeClr val="lt1"/>
              </a:solidFill>
              <a:effectLst/>
              <a:latin typeface="Meiryo UI" panose="020B0604030504040204" pitchFamily="50" charset="-128"/>
              <a:ea typeface="Meiryo UI" panose="020B0604030504040204" pitchFamily="50" charset="-128"/>
              <a:cs typeface="Meiryo UI" panose="020B0604030504040204" pitchFamily="50" charset="-128"/>
            </a:rPr>
            <a:t>トランザクション定義書とのマッピング</a:t>
          </a: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が確定した段階で記載</a:t>
          </a:r>
        </a:p>
      </xdr:txBody>
    </xdr:sp>
    <xdr:clientData/>
  </xdr:twoCellAnchor>
  <xdr:twoCellAnchor>
    <xdr:from>
      <xdr:col>25</xdr:col>
      <xdr:colOff>2413000</xdr:colOff>
      <xdr:row>29</xdr:row>
      <xdr:rowOff>190500</xdr:rowOff>
    </xdr:from>
    <xdr:to>
      <xdr:col>40</xdr:col>
      <xdr:colOff>1555750</xdr:colOff>
      <xdr:row>34</xdr:row>
      <xdr:rowOff>31750</xdr:rowOff>
    </xdr:to>
    <xdr:sp macro="" textlink="">
      <xdr:nvSpPr>
        <xdr:cNvPr id="17" name="左右矢印 16">
          <a:extLst>
            <a:ext uri="{FF2B5EF4-FFF2-40B4-BE49-F238E27FC236}">
              <a16:creationId xmlns:a16="http://schemas.microsoft.com/office/drawing/2014/main" id="{00000000-0008-0000-0E00-000011000000}"/>
            </a:ext>
          </a:extLst>
        </xdr:cNvPr>
        <xdr:cNvSpPr/>
      </xdr:nvSpPr>
      <xdr:spPr>
        <a:xfrm>
          <a:off x="28051125" y="6842125"/>
          <a:ext cx="17224375" cy="873125"/>
        </a:xfrm>
        <a:prstGeom prst="lef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マッピング開始前に受信側がレイアウトを確定し、項目情報をマッピング定義書に記載する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22413</xdr:colOff>
      <xdr:row>5</xdr:row>
      <xdr:rowOff>11206</xdr:rowOff>
    </xdr:from>
    <xdr:to>
      <xdr:col>14</xdr:col>
      <xdr:colOff>1098176</xdr:colOff>
      <xdr:row>19</xdr:row>
      <xdr:rowOff>11206</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22413" y="1068481"/>
          <a:ext cx="13591613" cy="3571875"/>
        </a:xfrm>
        <a:prstGeom prst="rect">
          <a:avLst/>
        </a:prstGeom>
        <a:solidFill>
          <a:schemeClr val="accent1">
            <a:lumMod val="20000"/>
            <a:lumOff val="80000"/>
            <a:alpha val="62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送信元</a:t>
          </a:r>
          <a:r>
            <a:rPr kumimoji="1" lang="en-US" altLang="ja-JP"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情報の記載</a:t>
          </a:r>
          <a:r>
            <a:rPr kumimoji="1" lang="en-US" altLang="ja-JP"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要件定義にて入力</a:t>
          </a:r>
          <a:endParaRPr kumimoji="1" lang="ja-JP" altLang="en-US" sz="110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15</xdr:col>
      <xdr:colOff>22411</xdr:colOff>
      <xdr:row>5</xdr:row>
      <xdr:rowOff>6724</xdr:rowOff>
    </xdr:from>
    <xdr:to>
      <xdr:col>17</xdr:col>
      <xdr:colOff>2427193</xdr:colOff>
      <xdr:row>19</xdr:row>
      <xdr:rowOff>6724</xdr:rowOff>
    </xdr:to>
    <xdr:sp macro="" textlink="">
      <xdr:nvSpPr>
        <xdr:cNvPr id="3" name="正方形/長方形 2">
          <a:extLst>
            <a:ext uri="{FF2B5EF4-FFF2-40B4-BE49-F238E27FC236}">
              <a16:creationId xmlns:a16="http://schemas.microsoft.com/office/drawing/2014/main" id="{00000000-0008-0000-0F00-000003000000}"/>
            </a:ext>
          </a:extLst>
        </xdr:cNvPr>
        <xdr:cNvSpPr/>
      </xdr:nvSpPr>
      <xdr:spPr>
        <a:xfrm>
          <a:off x="13652686" y="1063999"/>
          <a:ext cx="4014507" cy="3571875"/>
        </a:xfrm>
        <a:prstGeom prst="rect">
          <a:avLst/>
        </a:prstGeom>
        <a:solidFill>
          <a:schemeClr val="accent1">
            <a:lumMod val="20000"/>
            <a:lumOff val="80000"/>
            <a:alpha val="62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en-US"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マッピング情報の記載（送信元</a:t>
          </a:r>
          <a:r>
            <a:rPr kumimoji="1" lang="en-US" altLang="ja-JP"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情報）</a:t>
          </a:r>
          <a:endParaRPr kumimoji="1" lang="en-US" altLang="ja-JP"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a:p>
          <a:pPr marL="0" indent="0" algn="ctr"/>
          <a:r>
            <a:rPr kumimoji="1" lang="en-US" altLang="ja-JP"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rPr>
            <a:t>要件定義にて入力</a:t>
          </a:r>
          <a:endParaRPr kumimoji="1" lang="en-US" altLang="ja-JP" sz="2800">
            <a:solidFill>
              <a:srgbClr val="00206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17</xdr:col>
      <xdr:colOff>1862049</xdr:colOff>
      <xdr:row>20</xdr:row>
      <xdr:rowOff>155928</xdr:rowOff>
    </xdr:from>
    <xdr:to>
      <xdr:col>19</xdr:col>
      <xdr:colOff>461960</xdr:colOff>
      <xdr:row>27</xdr:row>
      <xdr:rowOff>21782</xdr:rowOff>
    </xdr:to>
    <xdr:sp macro="" textlink="">
      <xdr:nvSpPr>
        <xdr:cNvPr id="11" name="四角形吹き出し 10">
          <a:extLst>
            <a:ext uri="{FF2B5EF4-FFF2-40B4-BE49-F238E27FC236}">
              <a16:creationId xmlns:a16="http://schemas.microsoft.com/office/drawing/2014/main" id="{00000000-0008-0000-0F00-00000B000000}"/>
            </a:ext>
          </a:extLst>
        </xdr:cNvPr>
        <xdr:cNvSpPr/>
      </xdr:nvSpPr>
      <xdr:spPr>
        <a:xfrm>
          <a:off x="17142870" y="5966178"/>
          <a:ext cx="1375769" cy="1294604"/>
        </a:xfrm>
        <a:prstGeom prst="wedgeRectCallout">
          <a:avLst>
            <a:gd name="adj1" fmla="val 23140"/>
            <a:gd name="adj2" fmla="val -73739"/>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トランザクション定義書名称を記載（必須）</a:t>
          </a:r>
        </a:p>
      </xdr:txBody>
    </xdr:sp>
    <xdr:clientData/>
  </xdr:twoCellAnchor>
  <xdr:twoCellAnchor>
    <xdr:from>
      <xdr:col>19</xdr:col>
      <xdr:colOff>549952</xdr:colOff>
      <xdr:row>20</xdr:row>
      <xdr:rowOff>155250</xdr:rowOff>
    </xdr:from>
    <xdr:to>
      <xdr:col>20</xdr:col>
      <xdr:colOff>660257</xdr:colOff>
      <xdr:row>27</xdr:row>
      <xdr:rowOff>31310</xdr:rowOff>
    </xdr:to>
    <xdr:sp macro="" textlink="">
      <xdr:nvSpPr>
        <xdr:cNvPr id="12" name="四角形吹き出し 11">
          <a:extLst>
            <a:ext uri="{FF2B5EF4-FFF2-40B4-BE49-F238E27FC236}">
              <a16:creationId xmlns:a16="http://schemas.microsoft.com/office/drawing/2014/main" id="{00000000-0008-0000-0F00-00000C000000}"/>
            </a:ext>
          </a:extLst>
        </xdr:cNvPr>
        <xdr:cNvSpPr/>
      </xdr:nvSpPr>
      <xdr:spPr>
        <a:xfrm>
          <a:off x="18606631" y="5965500"/>
          <a:ext cx="1375769" cy="1304810"/>
        </a:xfrm>
        <a:prstGeom prst="wedgeRectCallout">
          <a:avLst>
            <a:gd name="adj1" fmla="val 21162"/>
            <a:gd name="adj2" fmla="val -73739"/>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トランザクション定義書に記載されている「項目名（テキスト）」を記載（必須）</a:t>
          </a:r>
        </a:p>
      </xdr:txBody>
    </xdr:sp>
    <xdr:clientData/>
  </xdr:twoCellAnchor>
  <xdr:twoCellAnchor>
    <xdr:from>
      <xdr:col>20</xdr:col>
      <xdr:colOff>760155</xdr:colOff>
      <xdr:row>20</xdr:row>
      <xdr:rowOff>152872</xdr:rowOff>
    </xdr:from>
    <xdr:to>
      <xdr:col>21</xdr:col>
      <xdr:colOff>870461</xdr:colOff>
      <xdr:row>27</xdr:row>
      <xdr:rowOff>28932</xdr:rowOff>
    </xdr:to>
    <xdr:sp macro="" textlink="">
      <xdr:nvSpPr>
        <xdr:cNvPr id="13" name="四角形吹き出し 12">
          <a:extLst>
            <a:ext uri="{FF2B5EF4-FFF2-40B4-BE49-F238E27FC236}">
              <a16:creationId xmlns:a16="http://schemas.microsoft.com/office/drawing/2014/main" id="{00000000-0008-0000-0F00-00000D000000}"/>
            </a:ext>
          </a:extLst>
        </xdr:cNvPr>
        <xdr:cNvSpPr/>
      </xdr:nvSpPr>
      <xdr:spPr>
        <a:xfrm>
          <a:off x="20082298" y="5963122"/>
          <a:ext cx="1375770" cy="1304810"/>
        </a:xfrm>
        <a:prstGeom prst="wedgeRectCallout">
          <a:avLst>
            <a:gd name="adj1" fmla="val 20173"/>
            <a:gd name="adj2" fmla="val -72696"/>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トランザクション定義書に記載されている「項目名</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を記載（必須）</a:t>
          </a:r>
        </a:p>
      </xdr:txBody>
    </xdr:sp>
    <xdr:clientData/>
  </xdr:twoCellAnchor>
  <xdr:twoCellAnchor>
    <xdr:from>
      <xdr:col>21</xdr:col>
      <xdr:colOff>934641</xdr:colOff>
      <xdr:row>20</xdr:row>
      <xdr:rowOff>150494</xdr:rowOff>
    </xdr:from>
    <xdr:to>
      <xdr:col>22</xdr:col>
      <xdr:colOff>1041543</xdr:colOff>
      <xdr:row>27</xdr:row>
      <xdr:rowOff>26554</xdr:rowOff>
    </xdr:to>
    <xdr:sp macro="" textlink="">
      <xdr:nvSpPr>
        <xdr:cNvPr id="14" name="四角形吹き出し 13">
          <a:extLst>
            <a:ext uri="{FF2B5EF4-FFF2-40B4-BE49-F238E27FC236}">
              <a16:creationId xmlns:a16="http://schemas.microsoft.com/office/drawing/2014/main" id="{00000000-0008-0000-0F00-00000E000000}"/>
            </a:ext>
          </a:extLst>
        </xdr:cNvPr>
        <xdr:cNvSpPr/>
      </xdr:nvSpPr>
      <xdr:spPr>
        <a:xfrm>
          <a:off x="21522248" y="5960744"/>
          <a:ext cx="1372366" cy="1304810"/>
        </a:xfrm>
        <a:prstGeom prst="wedgeRectCallout">
          <a:avLst>
            <a:gd name="adj1" fmla="val 19294"/>
            <a:gd name="adj2" fmla="val -73739"/>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トランザクション定義書に記載されている「</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テーブル名</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」を記載（必須）</a:t>
          </a:r>
        </a:p>
      </xdr:txBody>
    </xdr:sp>
    <xdr:clientData/>
  </xdr:twoCellAnchor>
  <xdr:twoCellAnchor>
    <xdr:from>
      <xdr:col>26</xdr:col>
      <xdr:colOff>18323</xdr:colOff>
      <xdr:row>5</xdr:row>
      <xdr:rowOff>16249</xdr:rowOff>
    </xdr:from>
    <xdr:to>
      <xdr:col>41</xdr:col>
      <xdr:colOff>0</xdr:colOff>
      <xdr:row>19</xdr:row>
      <xdr:rowOff>16249</xdr:rowOff>
    </xdr:to>
    <xdr:sp macro="" textlink="">
      <xdr:nvSpPr>
        <xdr:cNvPr id="8" name="正方形/長方形 7">
          <a:extLst>
            <a:ext uri="{FF2B5EF4-FFF2-40B4-BE49-F238E27FC236}">
              <a16:creationId xmlns:a16="http://schemas.microsoft.com/office/drawing/2014/main" id="{00000000-0008-0000-0F00-000008000000}"/>
            </a:ext>
          </a:extLst>
        </xdr:cNvPr>
        <xdr:cNvSpPr/>
      </xdr:nvSpPr>
      <xdr:spPr>
        <a:xfrm>
          <a:off x="27232609" y="1050392"/>
          <a:ext cx="17303570" cy="5851071"/>
        </a:xfrm>
        <a:prstGeom prst="rect">
          <a:avLst/>
        </a:prstGeom>
        <a:solidFill>
          <a:srgbClr val="FFFFCC">
            <a:alpha val="62000"/>
          </a:srgbClr>
        </a:solid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rPr>
            <a:t>マッピング情報の記載（受信</a:t>
          </a:r>
          <a:r>
            <a:rPr kumimoji="1" lang="en-US" altLang="ja-JP"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rPr>
            <a:t>情報）</a:t>
          </a:r>
          <a:r>
            <a:rPr kumimoji="1" lang="en-US" altLang="ja-JP"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rPr>
            <a:t>※IF</a:t>
          </a:r>
          <a:r>
            <a:rPr kumimoji="1" lang="ja-JP" altLang="en-US"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rPr>
            <a:t>要件定義開始前に入力</a:t>
          </a:r>
          <a:endParaRPr kumimoji="1" lang="en-US" altLang="ja-JP" sz="3600">
            <a:solidFill>
              <a:srgbClr val="FF66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22</xdr:col>
      <xdr:colOff>1127849</xdr:colOff>
      <xdr:row>20</xdr:row>
      <xdr:rowOff>153217</xdr:rowOff>
    </xdr:from>
    <xdr:to>
      <xdr:col>23</xdr:col>
      <xdr:colOff>1234750</xdr:colOff>
      <xdr:row>27</xdr:row>
      <xdr:rowOff>29277</xdr:rowOff>
    </xdr:to>
    <xdr:sp macro="" textlink="">
      <xdr:nvSpPr>
        <xdr:cNvPr id="9" name="四角形吹き出し 8">
          <a:extLst>
            <a:ext uri="{FF2B5EF4-FFF2-40B4-BE49-F238E27FC236}">
              <a16:creationId xmlns:a16="http://schemas.microsoft.com/office/drawing/2014/main" id="{00000000-0008-0000-0F00-000009000000}"/>
            </a:ext>
          </a:extLst>
        </xdr:cNvPr>
        <xdr:cNvSpPr/>
      </xdr:nvSpPr>
      <xdr:spPr>
        <a:xfrm>
          <a:off x="22980920" y="5963467"/>
          <a:ext cx="1372366" cy="1304810"/>
        </a:xfrm>
        <a:prstGeom prst="wedgeRectCallout">
          <a:avLst>
            <a:gd name="adj1" fmla="val -20366"/>
            <a:gd name="adj2" fmla="val -71653"/>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トランザクション定義書に記載されている「</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データタイプ</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」を記載（必須）</a:t>
          </a:r>
        </a:p>
      </xdr:txBody>
    </xdr:sp>
    <xdr:clientData/>
  </xdr:twoCellAnchor>
  <xdr:twoCellAnchor>
    <xdr:from>
      <xdr:col>24</xdr:col>
      <xdr:colOff>28378</xdr:colOff>
      <xdr:row>20</xdr:row>
      <xdr:rowOff>155940</xdr:rowOff>
    </xdr:from>
    <xdr:to>
      <xdr:col>25</xdr:col>
      <xdr:colOff>1006137</xdr:colOff>
      <xdr:row>27</xdr:row>
      <xdr:rowOff>32000</xdr:rowOff>
    </xdr:to>
    <xdr:sp macro="" textlink="">
      <xdr:nvSpPr>
        <xdr:cNvPr id="17" name="四角形吹き出し 16">
          <a:extLst>
            <a:ext uri="{FF2B5EF4-FFF2-40B4-BE49-F238E27FC236}">
              <a16:creationId xmlns:a16="http://schemas.microsoft.com/office/drawing/2014/main" id="{00000000-0008-0000-0F00-000011000000}"/>
            </a:ext>
          </a:extLst>
        </xdr:cNvPr>
        <xdr:cNvSpPr/>
      </xdr:nvSpPr>
      <xdr:spPr>
        <a:xfrm>
          <a:off x="24412378" y="5966190"/>
          <a:ext cx="1372366" cy="1304810"/>
        </a:xfrm>
        <a:prstGeom prst="wedgeRectCallout">
          <a:avLst>
            <a:gd name="adj1" fmla="val -30282"/>
            <a:gd name="adj2" fmla="val -69568"/>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トランザクション定義書に記載されている「</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桁数</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」を記載（必須）</a:t>
          </a:r>
        </a:p>
      </xdr:txBody>
    </xdr:sp>
    <xdr:clientData/>
  </xdr:twoCellAnchor>
  <xdr:twoCellAnchor>
    <xdr:from>
      <xdr:col>25</xdr:col>
      <xdr:colOff>1092443</xdr:colOff>
      <xdr:row>20</xdr:row>
      <xdr:rowOff>145056</xdr:rowOff>
    </xdr:from>
    <xdr:to>
      <xdr:col>27</xdr:col>
      <xdr:colOff>571501</xdr:colOff>
      <xdr:row>27</xdr:row>
      <xdr:rowOff>21116</xdr:rowOff>
    </xdr:to>
    <xdr:sp macro="" textlink="">
      <xdr:nvSpPr>
        <xdr:cNvPr id="18" name="四角形吹き出し 17">
          <a:extLst>
            <a:ext uri="{FF2B5EF4-FFF2-40B4-BE49-F238E27FC236}">
              <a16:creationId xmlns:a16="http://schemas.microsoft.com/office/drawing/2014/main" id="{00000000-0008-0000-0F00-000012000000}"/>
            </a:ext>
          </a:extLst>
        </xdr:cNvPr>
        <xdr:cNvSpPr/>
      </xdr:nvSpPr>
      <xdr:spPr>
        <a:xfrm>
          <a:off x="25857443" y="6002931"/>
          <a:ext cx="2241308" cy="1320685"/>
        </a:xfrm>
        <a:prstGeom prst="wedgeRectCallout">
          <a:avLst>
            <a:gd name="adj1" fmla="val -30282"/>
            <a:gd name="adj2" fmla="val -69568"/>
          </a:avLst>
        </a:prstGeom>
        <a:solidFill>
          <a:schemeClr val="accent4">
            <a:lumMod val="20000"/>
            <a:lumOff val="80000"/>
            <a:alpha val="62000"/>
          </a:schemeClr>
        </a:solid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項目変換が必要な場合、変換内容を記載</a:t>
          </a:r>
          <a:r>
            <a:rPr kumimoji="1" lang="en-US"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マッピング</a:t>
          </a:r>
          <a:r>
            <a:rPr kumimoji="1" lang="en-US"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GAP</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が発生した場合、</a:t>
          </a:r>
          <a:r>
            <a:rPr kumimoji="1" lang="en-US"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GAP</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検討管理</a:t>
          </a:r>
          <a:r>
            <a:rPr kumimoji="1" lang="en-US"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No</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を記載</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任意</a:t>
          </a:r>
          <a:r>
            <a:rPr kumimoji="1" lang="ja-JP" altLang="ja-JP" sz="1100">
              <a:solidFill>
                <a:srgbClr val="7030A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twoCellAnchor>
  <xdr:twoCellAnchor>
    <xdr:from>
      <xdr:col>43</xdr:col>
      <xdr:colOff>299357</xdr:colOff>
      <xdr:row>16</xdr:row>
      <xdr:rowOff>40821</xdr:rowOff>
    </xdr:from>
    <xdr:to>
      <xdr:col>58</xdr:col>
      <xdr:colOff>523875</xdr:colOff>
      <xdr:row>18</xdr:row>
      <xdr:rowOff>83910</xdr:rowOff>
    </xdr:to>
    <xdr:sp macro="" textlink="">
      <xdr:nvSpPr>
        <xdr:cNvPr id="16" name="左右矢印 15">
          <a:extLst>
            <a:ext uri="{FF2B5EF4-FFF2-40B4-BE49-F238E27FC236}">
              <a16:creationId xmlns:a16="http://schemas.microsoft.com/office/drawing/2014/main" id="{00000000-0008-0000-0F00-000010000000}"/>
            </a:ext>
          </a:extLst>
        </xdr:cNvPr>
        <xdr:cNvSpPr/>
      </xdr:nvSpPr>
      <xdr:spPr>
        <a:xfrm>
          <a:off x="46196250" y="4612821"/>
          <a:ext cx="10429875" cy="873125"/>
        </a:xfrm>
        <a:prstGeom prst="leftRightArrow">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送信インタフェースレイアウトが確定した段階で記載</a:t>
          </a:r>
        </a:p>
      </xdr:txBody>
    </xdr:sp>
    <xdr:clientData/>
  </xdr:twoCellAnchor>
  <xdr:twoCellAnchor>
    <xdr:from>
      <xdr:col>58</xdr:col>
      <xdr:colOff>571500</xdr:colOff>
      <xdr:row>16</xdr:row>
      <xdr:rowOff>40821</xdr:rowOff>
    </xdr:from>
    <xdr:to>
      <xdr:col>84</xdr:col>
      <xdr:colOff>106589</xdr:colOff>
      <xdr:row>18</xdr:row>
      <xdr:rowOff>83910</xdr:rowOff>
    </xdr:to>
    <xdr:sp macro="" textlink="">
      <xdr:nvSpPr>
        <xdr:cNvPr id="19" name="左右矢印 18">
          <a:extLst>
            <a:ext uri="{FF2B5EF4-FFF2-40B4-BE49-F238E27FC236}">
              <a16:creationId xmlns:a16="http://schemas.microsoft.com/office/drawing/2014/main" id="{00000000-0008-0000-0F00-000013000000}"/>
            </a:ext>
          </a:extLst>
        </xdr:cNvPr>
        <xdr:cNvSpPr/>
      </xdr:nvSpPr>
      <xdr:spPr>
        <a:xfrm>
          <a:off x="56673750" y="4612821"/>
          <a:ext cx="17224375" cy="873125"/>
        </a:xfrm>
        <a:prstGeom prst="lef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マッピング開始前に受信側がレイアウトを確定し、項目情報をマッピング定義書に記載する</a:t>
          </a:r>
        </a:p>
      </xdr:txBody>
    </xdr:sp>
    <xdr:clientData/>
  </xdr:twoCellAnchor>
  <xdr:twoCellAnchor>
    <xdr:from>
      <xdr:col>0</xdr:col>
      <xdr:colOff>0</xdr:colOff>
      <xdr:row>29</xdr:row>
      <xdr:rowOff>0</xdr:rowOff>
    </xdr:from>
    <xdr:to>
      <xdr:col>17</xdr:col>
      <xdr:colOff>2054679</xdr:colOff>
      <xdr:row>33</xdr:row>
      <xdr:rowOff>56696</xdr:rowOff>
    </xdr:to>
    <xdr:sp macro="" textlink="">
      <xdr:nvSpPr>
        <xdr:cNvPr id="20" name="左右矢印 19">
          <a:extLst>
            <a:ext uri="{FF2B5EF4-FFF2-40B4-BE49-F238E27FC236}">
              <a16:creationId xmlns:a16="http://schemas.microsoft.com/office/drawing/2014/main" id="{00000000-0008-0000-0F00-000014000000}"/>
            </a:ext>
          </a:extLst>
        </xdr:cNvPr>
        <xdr:cNvSpPr/>
      </xdr:nvSpPr>
      <xdr:spPr>
        <a:xfrm>
          <a:off x="0" y="7715250"/>
          <a:ext cx="17294679" cy="882196"/>
        </a:xfrm>
        <a:prstGeom prst="leftRight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送信インタフェースレイアウトが確定した段階で記載</a:t>
          </a:r>
        </a:p>
      </xdr:txBody>
    </xdr:sp>
    <xdr:clientData/>
  </xdr:twoCellAnchor>
  <xdr:twoCellAnchor>
    <xdr:from>
      <xdr:col>17</xdr:col>
      <xdr:colOff>2149929</xdr:colOff>
      <xdr:row>29</xdr:row>
      <xdr:rowOff>0</xdr:rowOff>
    </xdr:from>
    <xdr:to>
      <xdr:col>26</xdr:col>
      <xdr:colOff>142875</xdr:colOff>
      <xdr:row>33</xdr:row>
      <xdr:rowOff>56696</xdr:rowOff>
    </xdr:to>
    <xdr:sp macro="" textlink="">
      <xdr:nvSpPr>
        <xdr:cNvPr id="21" name="左右矢印 20">
          <a:extLst>
            <a:ext uri="{FF2B5EF4-FFF2-40B4-BE49-F238E27FC236}">
              <a16:creationId xmlns:a16="http://schemas.microsoft.com/office/drawing/2014/main" id="{00000000-0008-0000-0F00-000015000000}"/>
            </a:ext>
          </a:extLst>
        </xdr:cNvPr>
        <xdr:cNvSpPr/>
      </xdr:nvSpPr>
      <xdr:spPr>
        <a:xfrm>
          <a:off x="17389929" y="7715250"/>
          <a:ext cx="9946821" cy="882196"/>
        </a:xfrm>
        <a:prstGeom prst="leftRightArrow">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トランザクション定義書とのマッピング</a:t>
          </a:r>
        </a:p>
      </xdr:txBody>
    </xdr:sp>
    <xdr:clientData/>
  </xdr:twoCellAnchor>
  <xdr:twoCellAnchor>
    <xdr:from>
      <xdr:col>26</xdr:col>
      <xdr:colOff>222250</xdr:colOff>
      <xdr:row>29</xdr:row>
      <xdr:rowOff>0</xdr:rowOff>
    </xdr:from>
    <xdr:to>
      <xdr:col>41</xdr:col>
      <xdr:colOff>222250</xdr:colOff>
      <xdr:row>33</xdr:row>
      <xdr:rowOff>56696</xdr:rowOff>
    </xdr:to>
    <xdr:sp macro="" textlink="">
      <xdr:nvSpPr>
        <xdr:cNvPr id="22" name="左右矢印 21">
          <a:extLst>
            <a:ext uri="{FF2B5EF4-FFF2-40B4-BE49-F238E27FC236}">
              <a16:creationId xmlns:a16="http://schemas.microsoft.com/office/drawing/2014/main" id="{00000000-0008-0000-0F00-000016000000}"/>
            </a:ext>
          </a:extLst>
        </xdr:cNvPr>
        <xdr:cNvSpPr/>
      </xdr:nvSpPr>
      <xdr:spPr>
        <a:xfrm>
          <a:off x="27416125" y="7715250"/>
          <a:ext cx="17287875" cy="882196"/>
        </a:xfrm>
        <a:prstGeom prst="lef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nchorCtr="0"/>
        <a:lstStyle/>
        <a:p>
          <a:pPr algn="ctr"/>
          <a:r>
            <a:rPr kumimoji="1" lang="ja-JP" altLang="en-US" sz="2400">
              <a:latin typeface="Meiryo UI" panose="020B0604030504040204" pitchFamily="50" charset="-128"/>
              <a:ea typeface="Meiryo UI" panose="020B0604030504040204" pitchFamily="50" charset="-128"/>
              <a:cs typeface="Meiryo UI" panose="020B0604030504040204" pitchFamily="50" charset="-128"/>
            </a:rPr>
            <a:t>マッピング開始前に受信側がレイアウトを確定し、項目情報をマッピング定義書に記載する</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Library" Target="COMM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n4308a\&#20849;&#26377;\Documents%20and%20Settings\9970997\My%20Documents\&#26989;&#21209;&#38306;&#36899;\17.EDION\&#31435;&#12385;&#19978;&#12370;\&#21442;&#32771;\&#12503;&#12525;&#12472;&#12455;&#12463;&#12488;&#38283;&#30330;&#27161;&#28310;&#12460;&#12452;&#12489;\&#27161;&#28310;&#21270;&#36039;&#26009;&#21407;&#32025;\&#35201;&#20214;&#23450;&#32681;&#12501;&#12455;&#12540;&#12474;\&#25104;&#26524;&#29289;&#21407;&#32025;\TEMP\ogis\FI-AA\FI-AA&#22522;&#30990;&#36039;&#260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10.20\share\WINDOWS\Temporary%20Internet%20Files\Content.IE5\LLTWW692\file002(2).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sap.sharepoint.com/teams/a_SupplyChain1/Shared%20Documents/&#20849;&#26377;/&#27996;&#26494;&#12507;&#12488;&#12491;&#12463;&#12473;/11&#26376;&#12363;&#12425;_&#35201;&#20214;&#23450;&#32681;/&#35201;&#20214;&#23450;&#32681;&#26360;/&#21644;&#23947;&#12527;&#12540;&#12463;&#29992;1119_&#12527;&#12540;&#12463;_IF&#19968;&#35239;(&#35201;&#20214;&#23450;&#32681;).xlsx" TargetMode="External"/><Relationship Id="rId1" Type="http://schemas.openxmlformats.org/officeDocument/2006/relationships/externalLinkPath" Target="https://sap.sharepoint.com/teams/a_SupplyChain1/Shared%20Documents/&#20849;&#26377;/&#27996;&#26494;&#12507;&#12488;&#12491;&#12463;&#12473;/11&#26376;&#12363;&#12425;_&#35201;&#20214;&#23450;&#32681;/&#35201;&#20214;&#23450;&#32681;&#26360;/&#21644;&#23947;&#12527;&#12540;&#12463;&#29992;1119_&#12527;&#12540;&#12463;_IF&#19968;&#35239;(&#35201;&#20214;&#23450;&#3268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sap.sharepoint.com/teams/OneHamamatsuSAP2/Shared%20Documents/&#19968;&#33324;/Wave1&#22269;&#20869;/03.&#21508;&#12481;&#12540;&#12512;/15.&#12450;&#12501;&#12442;&#12522;&#12450;&#12540;&#12461;/BTP_UX/02_&#35413;&#20385;&#12501;&#12455;&#12540;&#12474;/Work/Template/2010_ProjectStandards/&#27010;&#35201;&#35373;&#35336;&#26360;-Sample_Ver1.0.xls" TargetMode="External"/><Relationship Id="rId1" Type="http://schemas.openxmlformats.org/officeDocument/2006/relationships/externalLinkPath" Target="https://sap.sharepoint.com/teams/OneHamamatsuSAP2/Shared%20Documents/&#19968;&#33324;/Wave1&#22269;&#20869;/03.&#21508;&#12481;&#12540;&#12512;/15.&#12450;&#12501;&#12442;&#12522;&#12450;&#12540;&#12461;/BTP_UX/02_&#35413;&#20385;&#12501;&#12455;&#12540;&#12474;/Work/Template/2010_ProjectStandards/&#27010;&#35201;&#35373;&#35336;&#26360;-Sample_Ver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vr04\tmp-d\@temp\3-1&amp;2&amp;3.xls"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Users/tikK08453/Documents/&#27010;&#35201;&#35373;&#35336;&#26360;/&#26368;&#26032;&#20181;&#27096;&#26360;&#22793;&#26356;&#12399;&#12371;&#12385;&#12425;/&#20462;&#27491;&#29256;/&#20986;&#33655;&#12522;&#12473;&#12488;/&#22269;&#22806;/D360_IF&#22522;&#26412;&#35373;&#35336;&#26360;(ZSD0011_014_BD_&#20986;&#33655;&#12522;&#12473;&#12488;IF(&#28023;&#22806;))_v0.1&#26283;&#23450;&#29256;.xlsx" TargetMode="External"/><Relationship Id="rId2" Type="http://schemas.openxmlformats.org/officeDocument/2006/relationships/externalLinkPath" Target="file:///C:\Users\tikK08453\Documents\&#27010;&#35201;&#35373;&#35336;&#26360;\&#26368;&#26032;&#20181;&#27096;&#26360;&#22793;&#26356;&#12399;&#12371;&#12385;&#12425;\&#20462;&#27491;&#29256;\&#20986;&#33655;&#12522;&#12473;&#12488;\&#22269;&#22806;\D360_IF&#22522;&#26412;&#35373;&#35336;&#26360;(ZSD0011_014_BD_&#20986;&#33655;&#12522;&#12473;&#12488;IF(&#28023;&#22806;))_v0.1&#26283;&#23450;&#29256;.xlsx" TargetMode="External"/><Relationship Id="rId1" Type="http://schemas.openxmlformats.org/officeDocument/2006/relationships/externalLinkPath" Target="/Users/tikK08453/Documents/&#27010;&#35201;&#35373;&#35336;&#26360;/&#26368;&#26032;&#20181;&#27096;&#26360;&#22793;&#26356;&#12399;&#12371;&#12385;&#12425;/&#20462;&#27491;&#29256;/&#20986;&#33655;&#12522;&#12473;&#12488;/&#22269;&#22806;/D360_IF&#22522;&#26412;&#35373;&#35336;&#26360;(ZSD0011_014_BD_&#20986;&#33655;&#12522;&#12473;&#12488;IF(&#28023;&#22806;))_v0.1&#26283;&#23450;&#292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員リスト"/>
      <sheetName val="商品リスト"/>
      <sheetName val="COMMON"/>
      <sheetName val="(ﾍｯﾀﾞ)"/>
      <sheetName val="表紙"/>
      <sheetName val="Employee Info"/>
      <sheetName val="Product and Service Catalog"/>
      <sheetName val="kna1"/>
      <sheetName val="knb1"/>
      <sheetName val="テストデータ記述2"/>
      <sheetName val="#REF"/>
      <sheetName val="レポートレイアウト"/>
      <sheetName val="ドキュメント一覧・変更履歴"/>
      <sheetName val="日付ﾃｰﾌﾞﾙ"/>
      <sheetName val="確認書"/>
      <sheetName val="IPO"/>
      <sheetName val="汎用M"/>
      <sheetName val="ﾃﾞｰﾀ項目"/>
      <sheetName val="編集"/>
      <sheetName val="画面遷移"/>
      <sheetName val="画面レ"/>
      <sheetName val="画面機能"/>
      <sheetName val="画面項目"/>
      <sheetName val="UT"/>
      <sheetName val="UTﾊﾟﾀｰﾝ"/>
      <sheetName val="別紙用"/>
      <sheetName val="別紙用 (2)"/>
      <sheetName val="Sheet2"/>
      <sheetName val="Sheet1"/>
      <sheetName val="Sheet3"/>
      <sheetName val="ÐõXg"/>
      <sheetName val="変更履歴"/>
      <sheetName val="TABLE"/>
      <sheetName val="機能構造図"/>
      <sheetName val="SP(条件指定検索)"/>
      <sheetName val="SP(発注人略称明細)"/>
      <sheetName val="SP(ｱｲﾃﾑNo明細)"/>
      <sheetName val="SP(ｱｲﾃﾑｵｰﾀﾞ明細)"/>
      <sheetName val="SP(相手先ｵｰﾀﾞ明細)"/>
      <sheetName val="SP(納入船積表示)"/>
      <sheetName val="IPO(指定条件検索)"/>
      <sheetName val="IPO(発注人略称)"/>
      <sheetName val="IPO(ｱｲﾃﾑNo)"/>
      <sheetName val="IPO(ｱｲﾃﾑｵｰﾀﾞ)"/>
      <sheetName val="IPO(相手先ｵｰﾀﾞ)"/>
      <sheetName val="IPO(納入船積表示)"/>
      <sheetName val="UT (指定条件検索)"/>
      <sheetName val="UT (発注人略称)"/>
      <sheetName val="UT (ｱｲﾃﾑNo)"/>
      <sheetName val="UT (ｱｲﾃﾑｵｰﾀﾞ)"/>
      <sheetName val="UT (相手先ｵｰﾀﾞ)"/>
      <sheetName val="UT (納入船積表示)"/>
      <sheetName val="UTﾊﾟﾀｰﾝ(初期画面)"/>
      <sheetName val="UTﾊﾟﾀｰﾝ(検索結果)"/>
      <sheetName val="ﾌﾛｰ "/>
      <sheetName val="MSG定義"/>
      <sheetName val="入力ﾁｪｯｸ (指定条件検索)"/>
      <sheetName val="入力ﾁｪｯｸ (品番明細)"/>
      <sheetName val="画面レ(指定条件検索)"/>
      <sheetName val="画面項目（指定条件検索）"/>
      <sheetName val="画面レ(発注人略称)"/>
      <sheetName val="画面項目(発注人略称)"/>
      <sheetName val="画面レ(ｱｲﾃﾑNo)"/>
      <sheetName val="画面項目(ｱｲﾃﾑNo)"/>
      <sheetName val="画面レ(ｱｲﾃﾑｵｰﾀﾞ)"/>
      <sheetName val="画面項目(ｱｲﾃﾑｵｰﾀﾞ)"/>
      <sheetName val="画面レ(相手先ｵｰﾀﾞ)"/>
      <sheetName val="画面項目(相手先ｵｰﾀﾞ)"/>
      <sheetName val="画面レ(納入船積表示)"/>
      <sheetName val="画面項目(納入船積表示)"/>
      <sheetName val="編集 (PO表示)"/>
      <sheetName val="編集 (発注人略称明細)"/>
      <sheetName val="編集 (ｱｲﾃﾑNo明細)"/>
      <sheetName val="編集 (ｱｲﾃﾑｵｰﾀﾞ明細)"/>
      <sheetName val="編集 (相手先ｵｰﾀﾞ明細)"/>
      <sheetName val="編集 (納入船積表示)"/>
      <sheetName val="編集 (発注人略称CSV)"/>
      <sheetName val="編集 (ｱｲﾃﾑNo CSV)"/>
      <sheetName val="編集 (ｱｲﾃﾑｵｰﾀﾞCSV)"/>
      <sheetName val="編集 (相手先ｵｰﾀﾞCSV)"/>
      <sheetName val="編集 (納入船積表示CSV)"/>
      <sheetName val="画面機能（条件指定検索）"/>
      <sheetName val="画面機能（品番明細）"/>
      <sheetName val="画面機能(納入船積表示)"/>
      <sheetName val="ｵﾌﾞｼﾞｪｸﾄ"/>
      <sheetName val="編集 (ｴﾗｰ情報)"/>
      <sheetName val="別紙）ｱﾌﾟﾘﾛｸﾞ定義書"/>
      <sheetName val="SP"/>
      <sheetName val="画面項目 (一覧出力)"/>
      <sheetName val="編集 (取引NO一覧)"/>
      <sheetName val="編集 (一覧出力)"/>
      <sheetName val="編集 (一覧出力CSV)"/>
      <sheetName val="入力ﾁｪｯｸ"/>
      <sheetName val="機能"/>
      <sheetName val="処理概要図"/>
      <sheetName val="IF-FILE"/>
      <sheetName val="IF(FILE-R3）(1)"/>
      <sheetName val="IF(FILE-R3）(2)"/>
      <sheetName val="IF(FILE-R3）(3)"/>
      <sheetName val="R3関連画面 (1)"/>
      <sheetName val="R3関連画面 (2)"/>
      <sheetName val="R3関連画面 (3)"/>
      <sheetName val="R3関連画面 (4)"/>
      <sheetName val="R3関連画面 (5)"/>
      <sheetName val="R3関連画面 (6)"/>
      <sheetName val="表紙 (2)"/>
      <sheetName val="IPO(旧版)"/>
      <sheetName val="IPO (最新版)"/>
      <sheetName val="ﾒｯｾｰｼﾞ"/>
      <sheetName val="補足"/>
      <sheetName val="処理フロー"/>
      <sheetName val="品目DB"/>
      <sheetName val="１．InfoCube (YKCH0010) 案２"/>
      <sheetName val="１．InfoCube (YKCH0010)案１"/>
      <sheetName val="工数Worksheet"/>
      <sheetName val="Program List"/>
      <sheetName val="ŽÐˆõƒŠƒXƒg"/>
      <sheetName val="テスト仕様書兼報告書表紙"/>
      <sheetName val="単体テスト仕様書 "/>
      <sheetName val="IK輸入LC残高移行ﾃﾞｰﾀ実行前"/>
      <sheetName val="IK輸入LC残高移行ﾃﾞｰﾀ実行後"/>
      <sheetName val="移行結果リスト"/>
      <sheetName val="他者名義変換表"/>
      <sheetName val="実行ログ"/>
      <sheetName val="設計書一覧"/>
      <sheetName val="改訂履歴"/>
      <sheetName val="機能概要 "/>
      <sheetName val="入出力関連図"/>
      <sheetName val="処理機能記述書"/>
      <sheetName val="処理機能記述書 (2)"/>
      <sheetName val="画面遷移図"/>
      <sheetName val="画面レイアウト (１)"/>
      <sheetName val="画面項目定義書 (１)"/>
      <sheetName val="画面レイアウト (2)"/>
      <sheetName val="画面項目定義書 (2)"/>
      <sheetName val="画面レイアウト（3）"/>
      <sheetName val="画面項目定義書（3）"/>
      <sheetName val="入力定義書(BGR00)"/>
      <sheetName val="入力定義書 (BBKPF)"/>
      <sheetName val="入力定義書 (ZBSEG)"/>
      <sheetName val="入力定義書 (BBTAX)"/>
      <sheetName val="汎用紙"/>
      <sheetName val="全般の記載ルール"/>
      <sheetName val="PCLパターン一覧"/>
      <sheetName val="1.選択条件画面レイアウト"/>
      <sheetName val="2-1.入力チェック(通常項目)"/>
      <sheetName val="3-1.データ抽出(前提条件無)"/>
      <sheetName val="3-2.データチェック（必須チェック）"/>
      <sheetName val="3-3-1.データチェック(存在チェック)"/>
      <sheetName val="3-3-1.データチェック(存在チェック2)"/>
      <sheetName val="3-3-1.データチェック(存在チェック3)"/>
      <sheetName val="3-3-1.データチェック(その他)"/>
      <sheetName val="3-3-1.データチェック(演算)"/>
      <sheetName val="3-3-2.更新処理-出力処理"/>
      <sheetName val="6.出力ファイルレイアウト"/>
      <sheetName val="7.更新結果(YMAK0390)"/>
      <sheetName val="7.更新結果(YMAK0450)"/>
      <sheetName val="7.更新結果(バッチインプット)"/>
      <sheetName val="10.終了処理"/>
      <sheetName val="出力結果添付1(終了処理)"/>
      <sheetName val="出力結果添付2(EDI処理)"/>
      <sheetName val="出力結果添付3(更新結果)"/>
      <sheetName val="出力結果添付4(入力データ)"/>
      <sheetName val="EKKO"/>
      <sheetName val="EKPO"/>
      <sheetName val="MARC"/>
      <sheetName val="MDBS"/>
      <sheetName val="EKET"/>
      <sheetName val="2.入力チェック"/>
      <sheetName val="3-1.データ抽出(前提条件無)20050203追加"/>
      <sheetName val="3-2.データ抽出(前提条件有)"/>
      <sheetName val="4.データ集約・集計"/>
      <sheetName val="5.その他出力項目の抽出"/>
      <sheetName val="6.データ更新"/>
      <sheetName val="7.標準原価の少数点以下5桁対応"/>
      <sheetName val="テスト結果添付 2004.12.9"/>
      <sheetName val="テスト結果添付 2004.12.14"/>
      <sheetName val="テスト結果添付1 2005.02.03"/>
      <sheetName val="出力結果添付2 2005.02.03"/>
      <sheetName val="画面フロー"/>
      <sheetName val="画面定義"/>
      <sheetName val="_REF"/>
      <sheetName val="問い合わせ票"/>
      <sheetName val="問い合わせ票 (中文)"/>
      <sheetName val="trans_at"/>
      <sheetName val="画面項目¨ｱｲﾃﾑｵｰﾀﾞ)"/>
      <sheetName val="画面項目(癸手先ｵｰﾀﾞ)"/>
      <sheetName val="エビデンス(単一価格データ)"/>
      <sheetName val="アクション一覧"/>
      <sheetName val="ユースケース一覧"/>
      <sheetName val="画面一覧"/>
      <sheetName val="メニュー"/>
      <sheetName val="本日分一覧"/>
      <sheetName val="書類種別一覧"/>
      <sheetName val="一覧"/>
      <sheetName val="検索結果一覧"/>
      <sheetName val="詳細"/>
      <sheetName val="詳細A1"/>
      <sheetName val="登録"/>
      <sheetName val="登録A2"/>
      <sheetName val="登録確認"/>
      <sheetName val="登録確認A3"/>
      <sheetName val="登録完了"/>
      <sheetName val="削除確認"/>
      <sheetName val="削除確認A4"/>
      <sheetName val="削除完了"/>
      <sheetName val="変更"/>
      <sheetName val="変更A5"/>
      <sheetName val="変更確認"/>
      <sheetName val="変更確認A6"/>
      <sheetName val="変更完了"/>
      <sheetName val="修正"/>
      <sheetName val="修正A7"/>
      <sheetName val="修正確認"/>
      <sheetName val="修正確認A8"/>
      <sheetName val="修正完了"/>
      <sheetName val="強制削除"/>
      <sheetName val="強制削除確認"/>
      <sheetName val="強制削除確認A9"/>
      <sheetName val="強制削除完了"/>
      <sheetName val="基本情報一覧"/>
      <sheetName val="基本情報設定詳細"/>
      <sheetName val="基本情報設定"/>
      <sheetName val="基本情報確認"/>
      <sheetName val="基本情報完了"/>
      <sheetName val="検索"/>
      <sheetName val="定期掲載日時一覧"/>
      <sheetName val="提供書類DB"/>
      <sheetName val="文書履歴"/>
      <sheetName val="表紙 "/>
      <sheetName val="DV02-A01_表紙"/>
      <sheetName val="DV02-A02ドキュメント一覧・変更履歴"/>
      <sheetName val="DV02-A03基本仕様"/>
      <sheetName val="DV02-A05処理概要"/>
      <sheetName val="DV02-A06設計詳細"/>
      <sheetName val="A07処理内容補足説明書（検索条件説明書）"/>
      <sheetName val="Employee_Info"/>
      <sheetName val="Product_and_Service_Catalog"/>
      <sheetName val="別紙用_(2)"/>
      <sheetName val="UT_(指定条件検索)"/>
      <sheetName val="UT_(発注人略称)"/>
      <sheetName val="UT_(ｱｲﾃﾑNo)"/>
      <sheetName val="UT_(ｱｲﾃﾑｵｰﾀﾞ)"/>
      <sheetName val="UT_(相手先ｵｰﾀﾞ)"/>
      <sheetName val="UT_(納入船積表示)"/>
      <sheetName val="ﾌﾛｰ_"/>
      <sheetName val="入力ﾁｪｯｸ_(指定条件検索)"/>
      <sheetName val="入力ﾁｪｯｸ_(品番明細)"/>
      <sheetName val="編集_(PO表示)"/>
      <sheetName val="編集_(発注人略称明細)"/>
      <sheetName val="編集_(ｱｲﾃﾑNo明細)"/>
      <sheetName val="編集_(ｱｲﾃﾑｵｰﾀﾞ明細)"/>
      <sheetName val="編集_(相手先ｵｰﾀﾞ明細)"/>
      <sheetName val="編集_(納入船積表示)"/>
      <sheetName val="編集_(発注人略称CSV)"/>
      <sheetName val="編集_(ｱｲﾃﾑNo_CSV)"/>
      <sheetName val="編集_(ｱｲﾃﾑｵｰﾀﾞCSV)"/>
      <sheetName val="編集_(相手先ｵｰﾀﾞCSV)"/>
      <sheetName val="編集_(納入船積表示CSV)"/>
      <sheetName val="編集_(ｴﾗｰ情報)"/>
      <sheetName val="画面項目_(一覧出力)"/>
      <sheetName val="編集_(取引NO一覧)"/>
      <sheetName val="編集_(一覧出力)"/>
      <sheetName val="編集_(一覧出力CSV)"/>
      <sheetName val="R3関連画面_(1)"/>
      <sheetName val="R3関連画面_(2)"/>
      <sheetName val="R3関連画面_(3)"/>
      <sheetName val="R3関連画面_(4)"/>
      <sheetName val="R3関連画面_(5)"/>
      <sheetName val="R3関連画面_(6)"/>
      <sheetName val="表紙_(2)"/>
      <sheetName val="IPO_(最新版)"/>
      <sheetName val="１．InfoCube_(YKCH0010)_案２"/>
      <sheetName val="１．InfoCube_(YKCH0010)案１"/>
      <sheetName val="Program_List"/>
      <sheetName val="1_選択条件画面レイアウト"/>
      <sheetName val="2-1_入力チェック(通常項目)"/>
      <sheetName val="3-1_データ抽出(前提条件無)"/>
      <sheetName val="3-2_データチェック（必須チェック）"/>
      <sheetName val="3-3-1_データチェック(存在チェック)"/>
      <sheetName val="3-3-1_データチェック(存在チェック2)"/>
      <sheetName val="3-3-1_データチェック(存在チェック3)"/>
      <sheetName val="3-3-1_データチェック(その他)"/>
      <sheetName val="3-3-1_データチェック(演算)"/>
      <sheetName val="3-3-2_更新処理-出力処理"/>
      <sheetName val="6_出力ファイルレイアウト"/>
      <sheetName val="7_更新結果(YMAK0390)"/>
      <sheetName val="7_更新結果(YMAK0450)"/>
      <sheetName val="7_更新結果(バッチインプット)"/>
      <sheetName val="10_終了処理"/>
      <sheetName val="2_入力チェック"/>
      <sheetName val="3-1_データ抽出(前提条件無)20050203追加"/>
      <sheetName val="3-2_データ抽出(前提条件有)"/>
      <sheetName val="4_データ集約・集計"/>
      <sheetName val="5_その他出力項目の抽出"/>
      <sheetName val="6_データ更新"/>
      <sheetName val="7_標準原価の少数点以下5桁対応"/>
      <sheetName val="テスト結果添付_2004_12_9"/>
      <sheetName val="テスト結果添付_2004_12_14"/>
      <sheetName val="テスト結果添付1_2005_02_03"/>
      <sheetName val="出力結果添付2_2005_02_03"/>
      <sheetName val="機能概要_"/>
      <sheetName val="処理機能記述書_(2)"/>
      <sheetName val="画面レイアウト_(１)"/>
      <sheetName val="画面項目定義書_(１)"/>
      <sheetName val="画面レイアウト_(2)"/>
      <sheetName val="画面項目定義書_(2)"/>
      <sheetName val="入力定義書_(BBKPF)"/>
      <sheetName val="入力定義書_(ZBSEG)"/>
      <sheetName val="入力定義書_(BBTAX)"/>
      <sheetName val="単体テスト仕様書_"/>
      <sheetName val="表紙_"/>
      <sheetName val="問い合わせ票_(中文)"/>
      <sheetName val="Employee_Info1"/>
      <sheetName val="Product_and_Service_Catalog1"/>
      <sheetName val="別紙用_(2)1"/>
      <sheetName val="UT_(指定条件検索)1"/>
      <sheetName val="UT_(発注人略称)1"/>
      <sheetName val="UT_(ｱｲﾃﾑNo)1"/>
      <sheetName val="UT_(ｱｲﾃﾑｵｰﾀﾞ)1"/>
      <sheetName val="UT_(相手先ｵｰﾀﾞ)1"/>
      <sheetName val="UT_(納入船積表示)1"/>
      <sheetName val="ﾌﾛｰ_1"/>
      <sheetName val="入力ﾁｪｯｸ_(指定条件検索)1"/>
      <sheetName val="入力ﾁｪｯｸ_(品番明細)1"/>
      <sheetName val="編集_(PO表示)1"/>
      <sheetName val="編集_(発注人略称明細)1"/>
      <sheetName val="編集_(ｱｲﾃﾑNo明細)1"/>
      <sheetName val="編集_(ｱｲﾃﾑｵｰﾀﾞ明細)1"/>
      <sheetName val="編集_(相手先ｵｰﾀﾞ明細)1"/>
      <sheetName val="編集_(納入船積表示)1"/>
      <sheetName val="編集_(発注人略称CSV)1"/>
      <sheetName val="編集_(ｱｲﾃﾑNo_CSV)1"/>
      <sheetName val="編集_(ｱｲﾃﾑｵｰﾀﾞCSV)1"/>
      <sheetName val="編集_(相手先ｵｰﾀﾞCSV)1"/>
      <sheetName val="編集_(納入船積表示CSV)1"/>
      <sheetName val="編集_(ｴﾗｰ情報)1"/>
      <sheetName val="画面項目_(一覧出力)1"/>
      <sheetName val="編集_(取引NO一覧)1"/>
      <sheetName val="編集_(一覧出力)1"/>
      <sheetName val="編集_(一覧出力CSV)1"/>
      <sheetName val="R3関連画面_(1)1"/>
      <sheetName val="R3関連画面_(2)1"/>
      <sheetName val="R3関連画面_(3)1"/>
      <sheetName val="R3関連画面_(4)1"/>
      <sheetName val="R3関連画面_(5)1"/>
      <sheetName val="R3関連画面_(6)1"/>
      <sheetName val="表紙_(2)1"/>
      <sheetName val="IPO_(最新版)1"/>
      <sheetName val=""/>
      <sheetName val="SP(ｱ_x0000__x0000__x0000__x0000__x0000__x0000__x0000__x0000__x0000__x0000_"/>
      <sheetName val="問い合わせ票 (中ꀫ룇"/>
      <sheetName val="1.選択条件画面レイアウꀫ"/>
      <sheetName val="入力定義書 (ZBSEGꀫ"/>
      <sheetName val="n_x0000_f_x0000_o_x0000_"/>
      <sheetName val=" ⠀夀䬀䌀䠀　　㄀　⤀ 䠀ቨ៿Ā１．InfoCube (YKC"/>
      <sheetName val="入力値"/>
      <sheetName val="+表紙!$AA$20社員リスト"/>
      <sheetName val="印鑑捺印ﾏｸﾛ"/>
      <sheetName val="?????"/>
      <sheetName val="凡例"/>
      <sheetName val="マスタ"/>
      <sheetName val="指摘分類"/>
      <sheetName val="List"/>
      <sheetName val="緪集 (一覧出力CSV)"/>
      <sheetName val="3-3-1.データチェック(存在チェッƯ3)"/>
      <sheetName val="n?f?o?"/>
      <sheetName val="SP(ｱ??????????"/>
      <sheetName val="Employee_Info2"/>
      <sheetName val="Product_and_Service_Catalog2"/>
      <sheetName val="別紙用_(2)2"/>
      <sheetName val="UT_(指定条件検索)2"/>
      <sheetName val="目次"/>
      <sheetName val="分類"/>
      <sheetName val="ワークシート関数の使用例"/>
      <sheetName val="条件付き書式"/>
      <sheetName val="データの入力規則"/>
      <sheetName val="散布図へのラベルの追加"/>
      <sheetName val="ループの使い方"/>
      <sheetName val="配列の使い方"/>
      <sheetName val="APIの例"/>
      <sheetName val="イベントの使い方"/>
      <sheetName val="オートメーション"/>
      <sheetName val="ADO"/>
      <sheetName val="ふりがなの使い方"/>
      <sheetName val="目次に戻る"/>
      <sheetName val="処理概要獳"/>
      <sheetName val="処理獳獳獳"/>
      <sheetName val="ssssssssss"/>
      <sheetName val="ヘッダフッタ"/>
      <sheetName val="１．InfoCube_(YKCH0010)_案２1"/>
      <sheetName val="１．InfoCube_(YKCH0010)案１1"/>
      <sheetName val="Program_List1"/>
      <sheetName val="単体テスト仕様書_1"/>
      <sheetName val="機能概要_1"/>
      <sheetName val="処理機能記述書_(2)1"/>
      <sheetName val="画面レイアウト_(１)1"/>
      <sheetName val="画面項目定義書_(１)1"/>
      <sheetName val="画面レイアウト_(2)1"/>
      <sheetName val="画面項目定義書_(2)1"/>
      <sheetName val="入力定義書_(BBKPF)1"/>
      <sheetName val="入力定義書_(ZBSEG)1"/>
      <sheetName val="入力定義書_(BBTAX)1"/>
      <sheetName val="1_選択条件画面レイアウト1"/>
      <sheetName val="2-1_入力チェック(通常項目)1"/>
      <sheetName val="3-1_データ抽出(前提条件無)1"/>
      <sheetName val="3-2_データチェック（必須チェック）1"/>
      <sheetName val="3-3-1_データチェック(存在チェック)1"/>
      <sheetName val="3-3-1_データチェック(存在チェック2)1"/>
      <sheetName val="3-3-1_データチェック(存在チェック3)1"/>
      <sheetName val="3-3-1_データチェック(その他)1"/>
      <sheetName val="3-3-1_データチェック(演算)1"/>
      <sheetName val="3-3-2_更新処理-出力処理1"/>
      <sheetName val="6_出力ファイルレイアウト1"/>
      <sheetName val="7_更新結果(YMAK0390)1"/>
      <sheetName val="7_更新結果(YMAK0450)1"/>
      <sheetName val="7_更新結果(バッチインプット)1"/>
      <sheetName val="10_終了処理1"/>
      <sheetName val="2_入力チェック1"/>
      <sheetName val="3-1_データ抽出(前提条件無)20050203追加1"/>
      <sheetName val="3-2_データ抽出(前提条件有)1"/>
      <sheetName val="4_データ集約・集計1"/>
      <sheetName val="5_その他出力項目の抽出1"/>
      <sheetName val="6_データ更新1"/>
      <sheetName val="7_標準原価の少数点以下5桁対応1"/>
      <sheetName val="テスト結果添付_2004_12_91"/>
      <sheetName val="テスト結果添付_2004_12_141"/>
      <sheetName val="テスト結果添付1_2005_02_031"/>
      <sheetName val="出力結果添付2_2005_02_031"/>
      <sheetName val="表紙_1"/>
      <sheetName val="問い合わせ票_(中文)1"/>
      <sheetName val="問い合わせ票_(中ꀫ룇"/>
      <sheetName val="1_選択条件画面レイアウꀫ"/>
      <sheetName val="入力定義書_(ZBSEGꀫ"/>
      <sheetName val=" ⠀夀䬀䌀䠀　　㄀　⤀ 䠀ቨ៿Ā１．InfoCube_(YKC"/>
      <sheetName val="緪集_(一覧出力CSV)"/>
      <sheetName val="3-3-1_データチェック(存在チェッƯ3)"/>
      <sheetName val="（参照）ディクショナリタイプ (Ref) DIC Type"/>
      <sheetName val="（参照）モジュール (Ref) Module"/>
      <sheetName val="n"/>
      <sheetName val="공용정보모듈"/>
      <sheetName val="공용정보"/>
      <sheetName val="인원현황"/>
      <sheetName val="거래선"/>
      <sheetName val="제품"/>
      <sheetName val="원부자재"/>
      <sheetName val="원단위"/>
      <sheetName val="환율"/>
      <sheetName val="ブランクフォーム"/>
      <sheetName val="???????X?g"/>
      <sheetName val="リスト"/>
      <sheetName val="テス　結果添付 2004.12.14"/>
      <sheetName val="_____"/>
      <sheetName val="社員???"/>
      <sheetName val="Part No."/>
      <sheetName val="大阪ホスト"/>
      <sheetName val="Macro1bmp用"/>
      <sheetName val="全社粗利"/>
      <sheetName val="粗利入力"/>
      <sheetName val="生人台帳"/>
      <sheetName val="Requirement"/>
      <sheetName val="SFK"/>
      <sheetName val="XP"/>
      <sheetName val="testkannji"/>
      <sheetName val="ExtChecklist"/>
      <sheetName val="BFOM"/>
      <sheetName val="Sheet4"/>
      <sheetName val="LivExt"/>
      <sheetName val="MBK"/>
      <sheetName val="KNC"/>
      <sheetName val="文"/>
      <sheetName val="TOEX"/>
      <sheetName val="SSP"/>
      <sheetName val="kujou"/>
      <sheetName val="test7"/>
      <sheetName val="test8"/>
      <sheetName val="1"/>
      <sheetName val="JLPT"/>
      <sheetName val="test9①"/>
      <sheetName val="test9②"/>
      <sheetName val="上期評価書"/>
      <sheetName val="実行計画書"/>
      <sheetName val="実施状況"/>
      <sheetName val="海外拠点作図費2"/>
      <sheetName val="海外拠点作図費"/>
      <sheetName val="海外作図実績"/>
      <sheetName val="作図実績"/>
      <sheetName val="実質作図人数評価"/>
      <sheetName val="生産性"/>
      <sheetName val="データ整理"/>
      <sheetName val="海外拠点CAD単価"/>
      <sheetName val="スズキ相良構造計算リスト"/>
      <sheetName val="プロセス管理データ例"/>
      <sheetName val="ＣＡＤプロセス管理表データ１"/>
      <sheetName val="ＣＡＤプロセス管理表データ２"/>
      <sheetName val="雑資料"/>
      <sheetName val="01_072"/>
      <sheetName val="01-072"/>
      <sheetName val="チェックプロセス"/>
      <sheetName val="チェック内容追加時の運用"/>
      <sheetName val="格納場所"/>
      <sheetName val="ToDoチケット起票のルール"/>
      <sheetName val="チェック内容(原本)"/>
      <sheetName val="ルール追加変更履歴"/>
      <sheetName val="原本をコピーしLv.3単位で作成→"/>
      <sheetName val="研修管理"/>
      <sheetName val="育成キャリア"/>
      <sheetName val="評価処遇"/>
      <sheetName val="SFC記載内容"/>
      <sheetName val="EC,ECPへの情報登録業務記載方式"/>
      <sheetName val="単語チェック"/>
      <sheetName val="オブジェクト"/>
      <sheetName val="利用者(Who)"/>
      <sheetName val="権限の種類(What)"/>
    </sheetNames>
    <sheetDataSet>
      <sheetData sheetId="0"/>
      <sheetData sheetId="1"/>
      <sheetData sheetId="2" refreshError="1"/>
      <sheetData sheetId="3" refreshError="1"/>
      <sheetData sheetId="4" refreshError="1"/>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refreshError="1"/>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sheetData sheetId="389" refreshError="1"/>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拡張レポート"/>
      <sheetName val="ＦＩＡ１"/>
      <sheetName val="ＦＩＡＡ"/>
      <sheetName val="コナミ"/>
      <sheetName val="AJ"/>
      <sheetName val="項目一覧(SAP版)"/>
      <sheetName val="項目一覧_SAP版_"/>
      <sheetName val="社員リスト"/>
      <sheetName val="ドロップダウンリスト元"/>
      <sheetName val="指摘分類"/>
      <sheetName val="マスタ"/>
      <sheetName val="選択肢マスタ"/>
      <sheetName val="分類"/>
      <sheetName val="List"/>
      <sheetName val="リスト"/>
      <sheetName val="リスト値データベース"/>
      <sheetName val="リスト値データベース "/>
      <sheetName val="概要設計IDリスト"/>
      <sheetName val="ユーザーグループ ver0.5"/>
      <sheetName val="表紙"/>
      <sheetName val="変更履歴"/>
      <sheetName val="テスト項目"/>
      <sheetName val="データパターン"/>
      <sheetName val="結果記述"/>
      <sheetName val="結果記述_指摘対応"/>
      <sheetName val="結果記述_V2.03"/>
      <sheetName val="項目説明"/>
      <sheetName val="Sheet1"/>
      <sheetName val="Sheet2"/>
      <sheetName val="Sheet3"/>
      <sheetName val="補足説明"/>
      <sheetName val="View Def(ZI_PPBBV0210)"/>
      <sheetName val="鑑請求書"/>
      <sheetName val="FI-AA基礎資料"/>
      <sheetName val="Header"/>
    </sheetNames>
    <sheetDataSet>
      <sheetData sheetId="0" refreshError="1"/>
      <sheetData sheetId="1" refreshError="1"/>
      <sheetData sheetId="2" refreshError="1"/>
      <sheetData sheetId="3" refreshError="1"/>
      <sheetData sheetId="4" refreshError="1"/>
      <sheetData sheetId="5" refreshError="1">
        <row r="64">
          <cell r="B64">
            <v>39</v>
          </cell>
        </row>
        <row r="65">
          <cell r="B65">
            <v>40</v>
          </cell>
        </row>
        <row r="66">
          <cell r="B66">
            <v>41</v>
          </cell>
        </row>
        <row r="67">
          <cell r="B67">
            <v>42</v>
          </cell>
        </row>
        <row r="68">
          <cell r="B68">
            <v>43</v>
          </cell>
        </row>
        <row r="69">
          <cell r="B69">
            <v>44</v>
          </cell>
        </row>
        <row r="70">
          <cell r="B70">
            <v>45</v>
          </cell>
        </row>
        <row r="71">
          <cell r="B71" t="str">
            <v>3.0A-</v>
          </cell>
        </row>
        <row r="72">
          <cell r="B72" t="str">
            <v>3.0A-</v>
          </cell>
        </row>
        <row r="75">
          <cell r="B75" t="str">
            <v>振替元データ</v>
          </cell>
        </row>
        <row r="76">
          <cell r="B76">
            <v>46</v>
          </cell>
        </row>
        <row r="77">
          <cell r="B77">
            <v>47</v>
          </cell>
        </row>
        <row r="78">
          <cell r="B78">
            <v>48</v>
          </cell>
        </row>
        <row r="79">
          <cell r="B79">
            <v>49</v>
          </cell>
        </row>
        <row r="80">
          <cell r="B80">
            <v>50</v>
          </cell>
        </row>
        <row r="81">
          <cell r="B81">
            <v>51</v>
          </cell>
        </row>
        <row r="83">
          <cell r="B83" t="str">
            <v>投資データ</v>
          </cell>
        </row>
        <row r="84">
          <cell r="B84">
            <v>52</v>
          </cell>
        </row>
        <row r="85">
          <cell r="B85" t="str">
            <v>3.0A-</v>
          </cell>
        </row>
        <row r="88">
          <cell r="B88" t="str">
            <v>固定資産税申告用データ</v>
          </cell>
        </row>
        <row r="89">
          <cell r="B89">
            <v>53</v>
          </cell>
        </row>
        <row r="90">
          <cell r="B90">
            <v>54</v>
          </cell>
        </row>
        <row r="91">
          <cell r="B91">
            <v>55</v>
          </cell>
        </row>
        <row r="92">
          <cell r="B92">
            <v>56</v>
          </cell>
        </row>
        <row r="94">
          <cell r="B94" t="str">
            <v>不動産及び類似権利</v>
          </cell>
        </row>
        <row r="95">
          <cell r="B95">
            <v>57</v>
          </cell>
        </row>
        <row r="96">
          <cell r="B96">
            <v>58</v>
          </cell>
        </row>
        <row r="97">
          <cell r="B97">
            <v>59</v>
          </cell>
        </row>
        <row r="98">
          <cell r="B98">
            <v>60</v>
          </cell>
        </row>
        <row r="99">
          <cell r="B99">
            <v>61</v>
          </cell>
        </row>
        <row r="100">
          <cell r="B100">
            <v>62</v>
          </cell>
        </row>
        <row r="101">
          <cell r="B101">
            <v>63</v>
          </cell>
        </row>
        <row r="102">
          <cell r="B102">
            <v>64</v>
          </cell>
        </row>
        <row r="103">
          <cell r="B103">
            <v>65</v>
          </cell>
        </row>
        <row r="104">
          <cell r="B104">
            <v>66</v>
          </cell>
        </row>
        <row r="105">
          <cell r="B105">
            <v>67</v>
          </cell>
        </row>
        <row r="106">
          <cell r="B106">
            <v>68</v>
          </cell>
        </row>
        <row r="107">
          <cell r="B107">
            <v>69</v>
          </cell>
        </row>
        <row r="108">
          <cell r="B108">
            <v>70</v>
          </cell>
        </row>
        <row r="110">
          <cell r="B110" t="str">
            <v>保険データ</v>
          </cell>
        </row>
        <row r="111">
          <cell r="B111">
            <v>71</v>
          </cell>
        </row>
        <row r="112">
          <cell r="B112">
            <v>72</v>
          </cell>
        </row>
        <row r="113">
          <cell r="B113">
            <v>73</v>
          </cell>
        </row>
        <row r="114">
          <cell r="B114">
            <v>74</v>
          </cell>
        </row>
        <row r="115">
          <cell r="B115">
            <v>75</v>
          </cell>
        </row>
        <row r="116">
          <cell r="B116">
            <v>76</v>
          </cell>
        </row>
        <row r="117">
          <cell r="B117">
            <v>77</v>
          </cell>
        </row>
        <row r="118">
          <cell r="B118">
            <v>78</v>
          </cell>
        </row>
        <row r="119">
          <cell r="B119">
            <v>79</v>
          </cell>
        </row>
        <row r="120">
          <cell r="B120">
            <v>80</v>
          </cell>
        </row>
        <row r="121">
          <cell r="B121">
            <v>81</v>
          </cell>
        </row>
        <row r="122">
          <cell r="B122">
            <v>82</v>
          </cell>
        </row>
        <row r="124">
          <cell r="B124" t="str">
            <v>リースデータ</v>
          </cell>
        </row>
        <row r="125">
          <cell r="B125">
            <v>83</v>
          </cell>
        </row>
        <row r="126">
          <cell r="B126">
            <v>84</v>
          </cell>
        </row>
        <row r="127">
          <cell r="B127">
            <v>85</v>
          </cell>
        </row>
        <row r="128">
          <cell r="B128">
            <v>86</v>
          </cell>
        </row>
        <row r="129">
          <cell r="B129">
            <v>87</v>
          </cell>
        </row>
        <row r="130">
          <cell r="B130">
            <v>88</v>
          </cell>
        </row>
        <row r="131">
          <cell r="B131">
            <v>89</v>
          </cell>
        </row>
        <row r="132">
          <cell r="B132">
            <v>90</v>
          </cell>
        </row>
        <row r="133">
          <cell r="B133">
            <v>91</v>
          </cell>
        </row>
        <row r="134">
          <cell r="B134">
            <v>92</v>
          </cell>
        </row>
        <row r="135">
          <cell r="B135">
            <v>93</v>
          </cell>
        </row>
        <row r="136">
          <cell r="B136">
            <v>94</v>
          </cell>
        </row>
        <row r="137">
          <cell r="B137">
            <v>95</v>
          </cell>
        </row>
        <row r="138">
          <cell r="B138">
            <v>96</v>
          </cell>
        </row>
        <row r="139">
          <cell r="B139">
            <v>97</v>
          </cell>
        </row>
        <row r="140">
          <cell r="B140">
            <v>98</v>
          </cell>
        </row>
        <row r="141">
          <cell r="B141">
            <v>99</v>
          </cell>
        </row>
        <row r="142">
          <cell r="B142">
            <v>100</v>
          </cell>
        </row>
        <row r="143">
          <cell r="B143">
            <v>101</v>
          </cell>
        </row>
        <row r="144">
          <cell r="B144">
            <v>102</v>
          </cell>
        </row>
        <row r="145">
          <cell r="B145">
            <v>103</v>
          </cell>
        </row>
        <row r="146">
          <cell r="B146">
            <v>104</v>
          </cell>
        </row>
        <row r="148">
          <cell r="B148" t="str">
            <v>長文テキスト</v>
          </cell>
        </row>
        <row r="149">
          <cell r="B149">
            <v>105</v>
          </cell>
        </row>
        <row r="150">
          <cell r="B150">
            <v>106</v>
          </cell>
        </row>
        <row r="151">
          <cell r="B151">
            <v>107</v>
          </cell>
        </row>
        <row r="152">
          <cell r="B152">
            <v>108</v>
          </cell>
        </row>
        <row r="153">
          <cell r="B153">
            <v>109</v>
          </cell>
        </row>
        <row r="154">
          <cell r="B154">
            <v>110</v>
          </cell>
        </row>
        <row r="155">
          <cell r="B155">
            <v>111</v>
          </cell>
        </row>
        <row r="157">
          <cell r="B157" t="str">
            <v>その他</v>
          </cell>
        </row>
        <row r="158">
          <cell r="B158">
            <v>112</v>
          </cell>
        </row>
        <row r="159">
          <cell r="B159">
            <v>113</v>
          </cell>
        </row>
        <row r="160">
          <cell r="B160">
            <v>114</v>
          </cell>
        </row>
        <row r="161">
          <cell r="B161">
            <v>115</v>
          </cell>
        </row>
        <row r="162">
          <cell r="B162">
            <v>116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InfoCube (YKCH0010)案１"/>
      <sheetName val="１．InfoCube (YKCH0010) 案２"/>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F一覧"/>
      <sheetName val="項目説明"/>
      <sheetName val="List"/>
      <sheetName val="IN_計画手配変更"/>
      <sheetName val="IN_独立所要量"/>
      <sheetName val="IN_工程材料使用実績"/>
      <sheetName val="IN_生産実績（指図入庫）"/>
      <sheetName val="IN_生産実績"/>
      <sheetName val="IN_品目振替"/>
      <sheetName val="受注伝票（受注入庫構成表）"/>
      <sheetName val="IN_半製品在庫移動"/>
      <sheetName val="現品票情報"/>
      <sheetName val="性能検査確認票項目"/>
      <sheetName val="トラベルシート"/>
      <sheetName val="OUT_計画手配"/>
      <sheetName val="OUT製造指図"/>
      <sheetName val="OUT在庫情報"/>
      <sheetName val="品目マスタ"/>
      <sheetName val="BOMデータ（カスタム）指図前後関係"/>
      <sheetName val="BOMマスタ"/>
      <sheetName val="製造バージョンマスタ"/>
      <sheetName val="作業区"/>
      <sheetName val="作業手順"/>
      <sheetName val="供給量割り当て"/>
      <sheetName val="プラント"/>
      <sheetName val="保管場所"/>
      <sheetName val="カレンダ"/>
      <sheetName val="MRP管理者"/>
      <sheetName val="製造責任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マスタ"/>
      <sheetName val="表紙"/>
      <sheetName val="目次"/>
      <sheetName val="変更履歴"/>
      <sheetName val="概要"/>
      <sheetName val="画面遷移"/>
      <sheetName val="入出力仕様書(選択画面)"/>
      <sheetName val="入出力仕様書(Dynpro0100)_例①Dynpro開発"/>
      <sheetName val="出力仕様書(要発注品一覧)_例②ALV"/>
      <sheetName val="出力仕様書(売掛金日次残高表)_例③帳票レイアウト併用パターン"/>
      <sheetName val="帳票レイアウト(売掛金日次残高表)_例④帳票レイアウト"/>
      <sheetName val="帳票レイアウト(帳票名)_例⑤グリッドなし"/>
      <sheetName val="ファイル定義(要発注品一覧帳票データ)_例⑥"/>
      <sheetName val="ファイル定義(固定資産マスタアップロードファイル)_例⑦"/>
      <sheetName val="メッセージ出力仕様_例①"/>
      <sheetName val="メッセージ出力仕様_例②(ポップアップ)"/>
      <sheetName val="メッセージ出力仕様_例③(シスログ出力)"/>
      <sheetName val="処理詳細説明"/>
      <sheetName val="処理詳細説明_例⑧SAPクエリ"/>
      <sheetName val="入出力パラメータ定義_例⑨"/>
      <sheetName val="補足説明"/>
    </sheetNames>
    <sheetDataSet>
      <sheetData sheetId="0">
        <row r="4">
          <cell r="A4" t="str">
            <v>受注</v>
          </cell>
        </row>
        <row r="5">
          <cell r="A5" t="str">
            <v>請求</v>
          </cell>
        </row>
        <row r="6">
          <cell r="A6" t="str">
            <v>顧客</v>
          </cell>
        </row>
        <row r="7">
          <cell r="A7" t="str">
            <v>入金</v>
          </cell>
        </row>
        <row r="8">
          <cell r="A8" t="str">
            <v>購買</v>
          </cell>
        </row>
        <row r="9">
          <cell r="A9" t="str">
            <v>在庫</v>
          </cell>
        </row>
        <row r="10">
          <cell r="A10" t="str">
            <v>出荷</v>
          </cell>
        </row>
        <row r="11">
          <cell r="A11" t="str">
            <v>会計</v>
          </cell>
        </row>
        <row r="12">
          <cell r="A12" t="str">
            <v>BI</v>
          </cell>
        </row>
        <row r="13">
          <cell r="A13" t="str">
            <v>商品</v>
          </cell>
        </row>
        <row r="14">
          <cell r="A14" t="str">
            <v>開発管理</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DS"/>
      <sheetName val="MAC"/>
      <sheetName val="T-ID"/>
      <sheetName val="DD"/>
      <sheetName val="型TB"/>
      <sheetName val="DD(Webあり)"/>
      <sheetName val="検索"/>
      <sheetName val="MAC印"/>
      <sheetName val="MAC店"/>
      <sheetName val="2003.12.18"/>
      <sheetName val="概要設計スケジュール"/>
      <sheetName val="M544_進捗管理ｸﾞﾗﾌ"/>
      <sheetName val="開発進捗状況報告表"/>
      <sheetName val="概要設計スケジュール(ｲﾝﾀﾌｪｰｽ)"/>
      <sheetName val="M544_進捗管理ｸﾞﾗﾌ(ｲﾝﾀﾌｪｰｽ)"/>
      <sheetName val="開発進捗状況報告表(ｲﾝﾀﾌｪｰｽ)"/>
      <sheetName val="M540_進捗管理ｸﾞﾗﾌ＜機能概要設計＞"/>
      <sheetName val="M541_進捗管理ｸﾞﾗﾌ＜入出力概要設計＞"/>
      <sheetName val="M542_進捗管理ｸﾞﾗﾌ＜処理記述設計＞"/>
      <sheetName val="M543_進捗管理ｸﾞﾗﾌ＜承認・受入説明＞"/>
      <sheetName val="M545_進捗ステータス"/>
      <sheetName val="M54A_進捗状況表"/>
      <sheetName val="M540_進捗管理ｸﾞﾗﾌ(ｲﾝﾀﾌｪｰｽ)＜機能概要設計＞"/>
      <sheetName val="M541_進捗管理ｸﾞﾗﾌ(ｲﾝﾀﾌｪｰｽ)＜入出力概要設計＞"/>
      <sheetName val="M542_進捗管理ｸﾞﾗﾌ(ｲﾝﾀﾌｪｰｽ)＜処理記述設計＞"/>
      <sheetName val="M543_進捗管理ｸﾞﾗﾌ(ｲﾝﾀﾌｪｰｽ)＜承認・受入説明＞"/>
      <sheetName val="M545_進捗ステータス(ｲﾝﾀﾌｪｰｽ)"/>
      <sheetName val="M54A_進捗状況表(ｲﾝﾀﾌｪｰｽ)"/>
      <sheetName val="ルネサス表紙"/>
      <sheetName val="文章履歴"/>
      <sheetName val="更新履歴シート"/>
      <sheetName val="F005_要件"/>
      <sheetName val="F010_DFD"/>
      <sheetName val="F012_プロセス機能"/>
      <sheetName val="プログラム"/>
      <sheetName val="汎用モジュール"/>
      <sheetName val="インクルード"/>
      <sheetName val="透過テーブル"/>
      <sheetName val="構造"/>
      <sheetName val="トランザクション"/>
      <sheetName val="メッセージ"/>
      <sheetName val="ビジネスオブジェクト"/>
      <sheetName val="検索ヘルプ"/>
      <sheetName val="データエレメント"/>
      <sheetName val="テーブル索引"/>
      <sheetName val="表紙"/>
      <sheetName val="売上・売上原価(PS)"/>
      <sheetName val="売上・売上原価(PS販売)"/>
      <sheetName val="ロイヤルティ関連項目設定"/>
      <sheetName val="記述要領"/>
      <sheetName val="承認票"/>
      <sheetName val="プログラム概要記述"/>
      <sheetName val="画面遷移"/>
      <sheetName val="プログラム処理記述"/>
      <sheetName val="画面レイアウト【選択画面】"/>
      <sheetName val="画面項目定義【選択画面】"/>
      <sheetName val="帳票レイアウト"/>
      <sheetName val="帳票項目定義"/>
      <sheetName val="メッセージ定義"/>
      <sheetName val="開発のねらい"/>
      <sheetName val="運用フロー"/>
      <sheetName val="機能一覧"/>
      <sheetName val="プロセスフロー"/>
      <sheetName val="画面イメージ"/>
      <sheetName val="エラー内容"/>
      <sheetName val="表示順管理マスタデータ処理"/>
      <sheetName val="Ｍ＿Outlook表示順管理マスタ"/>
      <sheetName val="Ｔ＿経費損益_OutLook（商開）"/>
      <sheetName val="ＢＷ＿経費損益OutLook（商開）"/>
      <sheetName val="BW　IF　ビュー"/>
      <sheetName val="結合テスト仕様書"/>
      <sheetName val="項目対比一覧"/>
      <sheetName val="メモ"/>
      <sheetName val="ISO記入要領"/>
      <sheetName val="プログラムフロー"/>
      <sheetName val="選択パラメータ"/>
      <sheetName val="画面レイアウト"/>
      <sheetName val="テキストエレメント定義"/>
      <sheetName val="INPUTファイル編集項目"/>
      <sheetName val="OUTPUTファイル編集項目"/>
      <sheetName val="関連オブジェクト"/>
      <sheetName val="テーブル読込条件"/>
      <sheetName val="バッチインプット定義"/>
      <sheetName val="項目処理記述（ﾃｰﾌﾞﾙ編集）"/>
      <sheetName val="項目処理記述（ﾌｧｲﾙ編集）"/>
      <sheetName val="補足"/>
      <sheetName val="3-1&amp;2&amp;3"/>
      <sheetName val="社員リスト"/>
      <sheetName val="S1"/>
      <sheetName val="仕切り率"/>
      <sheetName val="pull-down list"/>
      <sheetName val="プラント"/>
      <sheetName val="Parameter"/>
      <sheetName val="Sheet1"/>
      <sheetName val="凡例"/>
      <sheetName val="説明"/>
      <sheetName val="文書履歴"/>
      <sheetName val="1章．要件概要"/>
      <sheetName val="2章．処理タイミング"/>
      <sheetName val="3章．システム情報 wm（RTHK）"/>
      <sheetName val="3章．システム情報 wm（RTTW）"/>
      <sheetName val="3章．システム情報 wm（RTSP）"/>
      <sheetName val="3章．システム情報 wm（RTSH）"/>
      <sheetName val="4章．エラー処理"/>
      <sheetName val="5章．データ定義書(ヘッダ)"/>
      <sheetName val="5章．データ定義書(ASN)"/>
      <sheetName val="5章．データ定義書(トレーラ)"/>
      <sheetName val="6章．送信先情報"/>
      <sheetName val="5章．データ定義書"/>
      <sheetName val="変更メモ"/>
      <sheetName val="修正"/>
      <sheetName val="削除"/>
      <sheetName val="指摘区分・種別"/>
      <sheetName val="伝票タイプ一覧"/>
      <sheetName val="一覧"/>
      <sheetName val="初期値"/>
      <sheetName val="list"/>
      <sheetName val="項目一覧(SAP版)"/>
      <sheetName val="リスト"/>
      <sheetName val="リスト値"/>
      <sheetName val="ﾌﾟﾙﾀﾞｳﾝ値"/>
      <sheetName val="移行オブジェクト一覧"/>
      <sheetName val="項目定義"/>
      <sheetName val="対象マスタ抽出方法"/>
      <sheetName val="マスタ"/>
      <sheetName val="指摘分類"/>
      <sheetName val="工数タスク"/>
      <sheetName val="選択肢"/>
      <sheetName val="インターフェース一覧"/>
      <sheetName val="総括"/>
      <sheetName val="総括表"/>
      <sheetName val="レポートレイアウト"/>
      <sheetName val="社内統一レート(USD)"/>
      <sheetName val="実績レート推移"/>
      <sheetName val="SPOTレート"/>
      <sheetName val="ｼﾞｬｽｺ (1)"/>
      <sheetName val="テーブル一覧"/>
      <sheetName val="項目一覧"/>
      <sheetName val="金融債等"/>
      <sheetName val="コード表"/>
      <sheetName val="リストデータ"/>
      <sheetName val="LIST1"/>
      <sheetName val="開費選CTRL"/>
      <sheetName val="JOB_VBDNIKJ"/>
      <sheetName val="JOB_VBDNI2J"/>
      <sheetName val="工数"/>
      <sheetName val="2003_12_18"/>
      <sheetName val="ｼﾞｬｽｺ_(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表紙"/>
      <sheetName val="変更履歴 "/>
      <sheetName val="IF定義"/>
      <sheetName val="マッピング定義（海外）"/>
      <sheetName val="プロセスフロー"/>
      <sheetName val="プロセス定義"/>
      <sheetName val="DB定義"/>
      <sheetName val="外部パラメータ定義"/>
      <sheetName val="File定義"/>
      <sheetName val="リスト"/>
      <sheetName val="①受信側記載要領"/>
      <sheetName val="②トランザクション定義書とのマッピング内容記載要領"/>
    </sheetNames>
    <sheetDataSet>
      <sheetData sheetId="0"/>
      <sheetData sheetId="1" refreshError="1"/>
      <sheetData sheetId="2" refreshError="1"/>
      <sheetData sheetId="3"/>
      <sheetData sheetId="4" refreshError="1"/>
      <sheetData sheetId="5"/>
      <sheetData sheetId="6"/>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a:spPr>
      <a:bodyPr vertOverflow="clip" horzOverflow="clip" rtlCol="0" anchor="t"/>
      <a:lstStyle>
        <a:defPPr algn="ctr">
          <a:defRPr sz="1100">
            <a:solidFill>
              <a:sysClr val="windowText" lastClr="000000"/>
            </a:solidFill>
          </a:defRPr>
        </a:defPPr>
      </a:lstStyle>
      <a:style>
        <a:lnRef idx="2">
          <a:schemeClr val="accent1">
            <a:shade val="15000"/>
          </a:schemeClr>
        </a:lnRef>
        <a:fillRef idx="1">
          <a:schemeClr val="accent1"/>
        </a:fillRef>
        <a:effectRef idx="0">
          <a:schemeClr val="accent1"/>
        </a:effectRef>
        <a:fontRef idx="minor">
          <a:schemeClr val="lt1"/>
        </a:fontRef>
      </a:style>
    </a:spDef>
    <a:lnDef>
      <a:spPr>
        <a:ln>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76F0-F188-4C58-A827-071804D8C939}">
  <sheetPr codeName="Sheet3">
    <tabColor rgb="FFFFC000"/>
  </sheetPr>
  <dimension ref="A1:BR165"/>
  <sheetViews>
    <sheetView showGridLines="0" topLeftCell="A37" workbookViewId="0">
      <selection activeCell="H10" sqref="H10"/>
    </sheetView>
  </sheetViews>
  <sheetFormatPr defaultColWidth="2.453125" defaultRowHeight="15" customHeight="1" x14ac:dyDescent="0.45"/>
  <cols>
    <col min="1" max="10" width="2.453125" style="56"/>
    <col min="11" max="11" width="3.26953125" style="56" bestFit="1" customWidth="1"/>
    <col min="12" max="32" width="2.453125" style="56"/>
    <col min="33" max="33" width="4.90625" style="56" bestFit="1" customWidth="1"/>
    <col min="34" max="53" width="2.453125" style="56"/>
    <col min="54" max="54" width="7" style="56" bestFit="1" customWidth="1"/>
    <col min="55" max="55" width="6.36328125" style="56" bestFit="1" customWidth="1"/>
    <col min="56" max="56" width="2.453125" style="56"/>
    <col min="57" max="57" width="6.36328125" style="56" bestFit="1" customWidth="1"/>
    <col min="58" max="59" width="2.453125" style="56"/>
    <col min="60" max="60" width="9.08984375" style="56" bestFit="1" customWidth="1"/>
    <col min="61" max="61" width="3.26953125" style="56" bestFit="1" customWidth="1"/>
    <col min="62" max="16384" width="2.453125" style="56"/>
  </cols>
  <sheetData>
    <row r="1" spans="1:47" ht="15" customHeight="1" x14ac:dyDescent="0.45">
      <c r="A1" s="352" t="s">
        <v>0</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4"/>
    </row>
    <row r="2" spans="1:47" ht="15" customHeight="1" x14ac:dyDescent="0.45">
      <c r="A2" s="336" t="s">
        <v>1</v>
      </c>
      <c r="B2" s="326"/>
      <c r="C2" s="326"/>
      <c r="D2" s="326"/>
      <c r="E2" s="327"/>
      <c r="F2" s="325" t="s">
        <v>2</v>
      </c>
      <c r="G2" s="348"/>
      <c r="H2" s="348"/>
      <c r="I2" s="348"/>
      <c r="J2" s="348"/>
      <c r="K2" s="348"/>
      <c r="L2" s="348"/>
      <c r="M2" s="348"/>
      <c r="N2" s="348"/>
      <c r="O2" s="348"/>
      <c r="P2" s="348"/>
      <c r="Q2" s="348"/>
      <c r="R2" s="348"/>
      <c r="S2" s="348"/>
      <c r="T2" s="348"/>
      <c r="U2" s="348"/>
      <c r="V2" s="349"/>
      <c r="W2" s="336" t="s">
        <v>3</v>
      </c>
      <c r="X2" s="350"/>
      <c r="Y2" s="350"/>
      <c r="Z2" s="350"/>
      <c r="AA2" s="351"/>
      <c r="AB2" s="343" t="s">
        <v>4</v>
      </c>
      <c r="AC2" s="326"/>
      <c r="AD2" s="326"/>
      <c r="AE2" s="326"/>
      <c r="AF2" s="326"/>
      <c r="AG2" s="326"/>
      <c r="AH2" s="326"/>
      <c r="AI2" s="326"/>
      <c r="AJ2" s="326"/>
      <c r="AK2" s="326"/>
      <c r="AL2" s="326"/>
      <c r="AM2" s="326"/>
      <c r="AN2" s="326"/>
      <c r="AO2" s="326"/>
      <c r="AP2" s="326"/>
      <c r="AQ2" s="326"/>
      <c r="AR2" s="326"/>
      <c r="AS2" s="326"/>
      <c r="AT2" s="327"/>
    </row>
    <row r="3" spans="1:47" ht="14.4" customHeight="1" x14ac:dyDescent="0.45">
      <c r="A3" s="355" t="s">
        <v>5</v>
      </c>
      <c r="B3" s="356"/>
      <c r="C3" s="356"/>
      <c r="D3" s="356"/>
      <c r="E3" s="357"/>
      <c r="F3" s="358" t="s">
        <v>6</v>
      </c>
      <c r="G3" s="359"/>
      <c r="H3" s="359"/>
      <c r="I3" s="359"/>
      <c r="J3" s="359"/>
      <c r="K3" s="359"/>
      <c r="L3" s="359"/>
      <c r="M3" s="359"/>
      <c r="N3" s="359"/>
      <c r="O3" s="359"/>
      <c r="P3" s="359"/>
      <c r="Q3" s="359"/>
      <c r="R3" s="359"/>
      <c r="S3" s="359"/>
      <c r="T3" s="359"/>
      <c r="U3" s="359"/>
      <c r="V3" s="359"/>
      <c r="W3" s="359"/>
      <c r="X3" s="359"/>
      <c r="Y3" s="359"/>
      <c r="Z3" s="359"/>
      <c r="AA3" s="359"/>
      <c r="AB3" s="359"/>
      <c r="AC3" s="359"/>
      <c r="AD3" s="359"/>
      <c r="AE3" s="359"/>
      <c r="AF3" s="359"/>
      <c r="AG3" s="359"/>
      <c r="AH3" s="359"/>
      <c r="AI3" s="359"/>
      <c r="AJ3" s="359"/>
      <c r="AK3" s="359"/>
      <c r="AL3" s="359"/>
      <c r="AM3" s="359"/>
      <c r="AN3" s="359"/>
      <c r="AO3" s="359"/>
      <c r="AP3" s="359"/>
      <c r="AQ3" s="359"/>
      <c r="AR3" s="359"/>
      <c r="AS3" s="359"/>
      <c r="AT3" s="359"/>
      <c r="AU3" s="187"/>
    </row>
    <row r="4" spans="1:47" ht="15" customHeight="1" x14ac:dyDescent="0.45">
      <c r="A4" s="355" t="s">
        <v>7</v>
      </c>
      <c r="B4" s="356"/>
      <c r="C4" s="356"/>
      <c r="D4" s="356"/>
      <c r="E4" s="357"/>
      <c r="F4" s="358" t="s">
        <v>8</v>
      </c>
      <c r="G4" s="359"/>
      <c r="H4" s="359"/>
      <c r="I4" s="359"/>
      <c r="J4" s="359"/>
      <c r="K4" s="359"/>
      <c r="L4" s="359"/>
      <c r="M4" s="359"/>
      <c r="N4" s="359"/>
      <c r="O4" s="359"/>
      <c r="P4" s="359"/>
      <c r="Q4" s="359"/>
      <c r="R4" s="359"/>
      <c r="S4" s="359"/>
      <c r="T4" s="359"/>
      <c r="U4" s="359"/>
      <c r="V4" s="359"/>
      <c r="W4" s="359"/>
      <c r="X4" s="359"/>
      <c r="Y4" s="359"/>
      <c r="Z4" s="359"/>
      <c r="AA4" s="359"/>
      <c r="AB4" s="359"/>
      <c r="AC4" s="359"/>
      <c r="AD4" s="359"/>
      <c r="AE4" s="359"/>
      <c r="AF4" s="359"/>
      <c r="AG4" s="359"/>
      <c r="AH4" s="359"/>
      <c r="AI4" s="359"/>
      <c r="AJ4" s="359"/>
      <c r="AK4" s="359"/>
      <c r="AL4" s="359"/>
      <c r="AM4" s="359"/>
      <c r="AN4" s="359"/>
      <c r="AO4" s="359"/>
      <c r="AP4" s="359"/>
      <c r="AQ4" s="359"/>
      <c r="AR4" s="359"/>
      <c r="AS4" s="359"/>
      <c r="AT4" s="359"/>
      <c r="AU4" s="187"/>
    </row>
    <row r="5" spans="1:47" ht="15" customHeight="1" x14ac:dyDescent="0.45">
      <c r="A5" s="336" t="s">
        <v>9</v>
      </c>
      <c r="B5" s="326"/>
      <c r="C5" s="326"/>
      <c r="D5" s="326"/>
      <c r="E5" s="327"/>
      <c r="F5" s="325" t="s">
        <v>10</v>
      </c>
      <c r="G5" s="348"/>
      <c r="H5" s="348"/>
      <c r="I5" s="348"/>
      <c r="J5" s="348"/>
      <c r="K5" s="348"/>
      <c r="L5" s="348"/>
      <c r="M5" s="348"/>
      <c r="N5" s="348"/>
      <c r="O5" s="348"/>
      <c r="P5" s="348"/>
      <c r="Q5" s="348"/>
      <c r="R5" s="348"/>
      <c r="S5" s="348"/>
      <c r="T5" s="348"/>
      <c r="U5" s="348"/>
      <c r="V5" s="349"/>
      <c r="W5" s="336" t="s">
        <v>11</v>
      </c>
      <c r="X5" s="350"/>
      <c r="Y5" s="350"/>
      <c r="Z5" s="350"/>
      <c r="AA5" s="351"/>
      <c r="AB5" s="325" t="s">
        <v>12</v>
      </c>
      <c r="AC5" s="348"/>
      <c r="AD5" s="348"/>
      <c r="AE5" s="348"/>
      <c r="AF5" s="348"/>
      <c r="AG5" s="348"/>
      <c r="AH5" s="348"/>
      <c r="AI5" s="348"/>
      <c r="AJ5" s="348"/>
      <c r="AK5" s="348"/>
      <c r="AL5" s="348"/>
      <c r="AM5" s="348"/>
      <c r="AN5" s="348"/>
      <c r="AO5" s="348"/>
      <c r="AP5" s="348"/>
      <c r="AQ5" s="348"/>
      <c r="AR5" s="348"/>
      <c r="AS5" s="348"/>
      <c r="AT5" s="349"/>
    </row>
    <row r="6" spans="1:47" ht="15" customHeight="1" x14ac:dyDescent="0.45">
      <c r="A6" s="336" t="s">
        <v>13</v>
      </c>
      <c r="B6" s="326"/>
      <c r="C6" s="326"/>
      <c r="D6" s="326"/>
      <c r="E6" s="327"/>
      <c r="F6" s="195" t="s">
        <v>14</v>
      </c>
      <c r="G6" s="196"/>
      <c r="H6" s="196"/>
      <c r="I6" s="196"/>
      <c r="J6" s="196"/>
      <c r="K6" s="196"/>
      <c r="L6" s="196"/>
      <c r="M6" s="196"/>
      <c r="N6" s="196"/>
      <c r="O6" s="196"/>
      <c r="P6" s="196"/>
      <c r="Q6" s="196"/>
      <c r="R6" s="196"/>
      <c r="S6" s="196"/>
      <c r="T6" s="196"/>
      <c r="U6" s="196"/>
      <c r="V6" s="197"/>
      <c r="W6" s="336" t="s">
        <v>15</v>
      </c>
      <c r="X6" s="326"/>
      <c r="Y6" s="326"/>
      <c r="Z6" s="326"/>
      <c r="AA6" s="327"/>
      <c r="AB6" s="340" t="s">
        <v>16</v>
      </c>
      <c r="AC6" s="341"/>
      <c r="AD6" s="341"/>
      <c r="AE6" s="341"/>
      <c r="AF6" s="341"/>
      <c r="AG6" s="341"/>
      <c r="AH6" s="341"/>
      <c r="AI6" s="341"/>
      <c r="AJ6" s="341"/>
      <c r="AK6" s="341"/>
      <c r="AL6" s="341"/>
      <c r="AM6" s="341"/>
      <c r="AN6" s="341"/>
      <c r="AO6" s="341"/>
      <c r="AP6" s="341"/>
      <c r="AQ6" s="341"/>
      <c r="AR6" s="341"/>
      <c r="AS6" s="341"/>
      <c r="AT6" s="342"/>
    </row>
    <row r="7" spans="1:47" ht="15" customHeight="1" x14ac:dyDescent="0.45">
      <c r="A7" s="194" t="s">
        <v>17</v>
      </c>
      <c r="B7" s="198"/>
      <c r="C7" s="198"/>
      <c r="D7" s="198"/>
      <c r="E7" s="199"/>
      <c r="F7" s="325" t="s">
        <v>18</v>
      </c>
      <c r="G7" s="326"/>
      <c r="H7" s="326"/>
      <c r="I7" s="326"/>
      <c r="J7" s="326"/>
      <c r="K7" s="327"/>
      <c r="L7" s="194" t="s">
        <v>19</v>
      </c>
      <c r="M7" s="198"/>
      <c r="N7" s="198"/>
      <c r="O7" s="198"/>
      <c r="P7" s="199"/>
      <c r="Q7" s="343" t="s">
        <v>20</v>
      </c>
      <c r="R7" s="326"/>
      <c r="S7" s="326"/>
      <c r="T7" s="326"/>
      <c r="U7" s="326"/>
      <c r="V7" s="327"/>
      <c r="W7" s="344" t="s">
        <v>21</v>
      </c>
      <c r="X7" s="345"/>
      <c r="Y7" s="345"/>
      <c r="Z7" s="345"/>
      <c r="AA7" s="346"/>
      <c r="AB7" s="325" t="s">
        <v>22</v>
      </c>
      <c r="AC7" s="326"/>
      <c r="AD7" s="326"/>
      <c r="AE7" s="326"/>
      <c r="AF7" s="326"/>
      <c r="AG7" s="326"/>
      <c r="AH7" s="327"/>
      <c r="AI7" s="344" t="s">
        <v>23</v>
      </c>
      <c r="AJ7" s="345"/>
      <c r="AK7" s="345"/>
      <c r="AL7" s="345"/>
      <c r="AM7" s="346"/>
      <c r="AN7" s="347" t="s">
        <v>24</v>
      </c>
      <c r="AO7" s="326"/>
      <c r="AP7" s="326"/>
      <c r="AQ7" s="326"/>
      <c r="AR7" s="326"/>
      <c r="AS7" s="326"/>
      <c r="AT7" s="327"/>
    </row>
    <row r="8" spans="1:47" ht="15" customHeight="1" x14ac:dyDescent="0.45">
      <c r="A8" s="336" t="s">
        <v>25</v>
      </c>
      <c r="B8" s="326"/>
      <c r="C8" s="326"/>
      <c r="D8" s="326"/>
      <c r="E8" s="327"/>
      <c r="F8" s="66"/>
      <c r="G8" s="124"/>
      <c r="H8" s="124"/>
      <c r="I8" s="124"/>
      <c r="J8" s="124"/>
      <c r="K8" s="124"/>
      <c r="L8" s="124"/>
      <c r="M8" s="124"/>
      <c r="N8" s="124"/>
      <c r="O8" s="124"/>
      <c r="P8" s="124"/>
      <c r="Q8" s="124"/>
      <c r="R8" s="124"/>
      <c r="S8" s="124"/>
      <c r="T8" s="124"/>
      <c r="U8" s="124"/>
      <c r="V8" s="124"/>
      <c r="W8" s="67"/>
      <c r="X8" s="125"/>
      <c r="Y8" s="125"/>
      <c r="Z8" s="125"/>
      <c r="AA8" s="125"/>
      <c r="AB8" s="67"/>
      <c r="AC8" s="124"/>
      <c r="AD8" s="124"/>
      <c r="AE8" s="124"/>
      <c r="AF8" s="124"/>
      <c r="AG8" s="124"/>
      <c r="AH8" s="124"/>
      <c r="AI8" s="124"/>
      <c r="AJ8" s="124"/>
      <c r="AK8" s="124"/>
      <c r="AL8" s="124"/>
      <c r="AM8" s="124"/>
      <c r="AN8" s="124"/>
      <c r="AO8" s="124"/>
      <c r="AP8" s="124"/>
      <c r="AQ8" s="124"/>
      <c r="AR8" s="124"/>
      <c r="AS8" s="124"/>
      <c r="AT8" s="126"/>
      <c r="AU8" s="57"/>
    </row>
    <row r="9" spans="1:47" ht="15" customHeight="1" x14ac:dyDescent="0.45">
      <c r="A9" s="127"/>
      <c r="B9" s="127"/>
      <c r="C9" s="127"/>
      <c r="D9" s="127"/>
      <c r="E9" s="128"/>
      <c r="F9" s="58"/>
      <c r="G9" s="127"/>
      <c r="H9" s="127"/>
      <c r="I9" s="127"/>
      <c r="J9" s="127"/>
      <c r="K9" s="127"/>
      <c r="L9" s="127"/>
      <c r="M9" s="127"/>
      <c r="N9" s="127"/>
      <c r="O9" s="127"/>
      <c r="P9" s="127"/>
      <c r="Q9" s="127"/>
      <c r="R9" s="127"/>
      <c r="S9" s="127"/>
      <c r="T9" s="127"/>
      <c r="U9" s="127"/>
      <c r="V9" s="127"/>
      <c r="W9" s="65"/>
      <c r="X9" s="128"/>
      <c r="Y9" s="128"/>
      <c r="Z9" s="128"/>
      <c r="AA9" s="128"/>
      <c r="AB9" s="65"/>
      <c r="AC9" s="127"/>
      <c r="AD9" s="127"/>
      <c r="AE9" s="127"/>
      <c r="AF9" s="127"/>
      <c r="AG9" s="127"/>
      <c r="AH9" s="127"/>
      <c r="AI9" s="127"/>
      <c r="AJ9" s="127"/>
      <c r="AK9" s="127"/>
      <c r="AL9" s="127"/>
      <c r="AM9" s="127"/>
      <c r="AN9" s="127"/>
      <c r="AO9" s="127"/>
      <c r="AP9" s="127"/>
      <c r="AQ9" s="127"/>
      <c r="AR9" s="127"/>
      <c r="AS9" s="127"/>
      <c r="AT9" s="191"/>
      <c r="AU9" s="57"/>
    </row>
    <row r="10" spans="1:47" ht="15" customHeight="1" x14ac:dyDescent="0.45">
      <c r="A10" s="127"/>
      <c r="B10" s="56" t="s">
        <v>26</v>
      </c>
      <c r="D10" s="127"/>
      <c r="E10" s="128"/>
      <c r="F10" s="58"/>
      <c r="G10" s="127"/>
      <c r="H10" s="127"/>
      <c r="I10" s="127"/>
      <c r="J10" s="127"/>
      <c r="K10" s="127"/>
      <c r="L10" s="127"/>
      <c r="M10" s="127"/>
      <c r="N10" s="127"/>
      <c r="O10" s="127"/>
      <c r="P10" s="127"/>
      <c r="Q10" s="127"/>
      <c r="R10" s="127"/>
      <c r="S10" s="127"/>
      <c r="T10" s="127"/>
      <c r="U10" s="127"/>
      <c r="V10" s="127"/>
      <c r="W10" s="65"/>
      <c r="X10" s="128"/>
      <c r="Y10" s="128"/>
      <c r="Z10" s="128"/>
      <c r="AA10" s="128"/>
      <c r="AB10" s="65"/>
      <c r="AC10" s="127"/>
      <c r="AD10" s="127"/>
      <c r="AE10" s="127"/>
      <c r="AF10" s="127"/>
      <c r="AG10" s="127"/>
      <c r="AH10" s="127"/>
      <c r="AI10" s="127"/>
      <c r="AJ10" s="127"/>
      <c r="AK10" s="127"/>
      <c r="AL10" s="127"/>
      <c r="AM10" s="127"/>
      <c r="AN10" s="127"/>
      <c r="AO10" s="127"/>
      <c r="AP10" s="127"/>
      <c r="AQ10" s="127"/>
      <c r="AR10" s="127"/>
      <c r="AS10" s="127"/>
      <c r="AT10" s="191"/>
      <c r="AU10" s="57"/>
    </row>
    <row r="11" spans="1:47" ht="15" customHeight="1" x14ac:dyDescent="0.45">
      <c r="A11" s="127"/>
      <c r="B11" s="56" t="s">
        <v>27</v>
      </c>
      <c r="D11" s="127"/>
      <c r="E11" s="128"/>
      <c r="F11" s="58"/>
      <c r="G11" s="127"/>
      <c r="H11" s="127"/>
      <c r="I11" s="127"/>
      <c r="J11" s="127"/>
      <c r="K11" s="127"/>
      <c r="L11" s="127"/>
      <c r="M11" s="127"/>
      <c r="N11" s="127"/>
      <c r="O11" s="127"/>
      <c r="P11" s="127"/>
      <c r="Q11" s="127"/>
      <c r="R11" s="127"/>
      <c r="S11" s="127"/>
      <c r="T11" s="127"/>
      <c r="U11" s="127"/>
      <c r="V11" s="127"/>
      <c r="W11" s="65"/>
      <c r="X11" s="128"/>
      <c r="Y11" s="128"/>
      <c r="Z11" s="128"/>
      <c r="AA11" s="128"/>
      <c r="AB11" s="65"/>
      <c r="AC11" s="127"/>
      <c r="AD11" s="127"/>
      <c r="AE11" s="127"/>
      <c r="AF11" s="127"/>
      <c r="AG11" s="127"/>
      <c r="AH11" s="127"/>
      <c r="AI11" s="127"/>
      <c r="AJ11" s="127"/>
      <c r="AK11" s="127"/>
      <c r="AL11" s="127"/>
      <c r="AM11" s="127"/>
      <c r="AN11" s="127"/>
      <c r="AO11" s="127"/>
      <c r="AP11" s="127"/>
      <c r="AQ11" s="127"/>
      <c r="AR11" s="127"/>
      <c r="AS11" s="127"/>
      <c r="AT11" s="191"/>
      <c r="AU11" s="57"/>
    </row>
    <row r="12" spans="1:47" ht="15" customHeight="1" x14ac:dyDescent="0.45">
      <c r="A12" s="127"/>
      <c r="B12" s="127"/>
      <c r="C12" s="127"/>
      <c r="D12" s="127"/>
      <c r="E12" s="128"/>
      <c r="F12" s="58"/>
      <c r="G12" s="127"/>
      <c r="H12" s="127"/>
      <c r="I12" s="127"/>
      <c r="J12" s="127"/>
      <c r="K12" s="127"/>
      <c r="L12" s="127"/>
      <c r="M12" s="127"/>
      <c r="N12" s="127"/>
      <c r="O12" s="127"/>
      <c r="P12" s="127"/>
      <c r="Q12" s="127"/>
      <c r="R12" s="127"/>
      <c r="S12" s="127"/>
      <c r="T12" s="127"/>
      <c r="U12" s="127"/>
      <c r="V12" s="127"/>
      <c r="W12" s="65"/>
      <c r="X12" s="128"/>
      <c r="Y12" s="128"/>
      <c r="Z12" s="128"/>
      <c r="AA12" s="128"/>
      <c r="AB12" s="65"/>
      <c r="AC12" s="127"/>
      <c r="AD12" s="127"/>
      <c r="AE12" s="127"/>
      <c r="AF12" s="127"/>
      <c r="AG12" s="127"/>
      <c r="AH12" s="127"/>
      <c r="AI12" s="127"/>
      <c r="AJ12" s="127"/>
      <c r="AK12" s="127"/>
      <c r="AL12" s="127"/>
      <c r="AM12" s="127"/>
      <c r="AN12" s="127"/>
      <c r="AO12" s="127"/>
      <c r="AP12" s="127"/>
      <c r="AQ12" s="127"/>
      <c r="AR12" s="127"/>
      <c r="AS12" s="127"/>
      <c r="AT12" s="191"/>
      <c r="AU12" s="57"/>
    </row>
    <row r="13" spans="1:47" ht="15" customHeight="1" x14ac:dyDescent="0.45">
      <c r="A13" s="127"/>
      <c r="B13" s="127"/>
      <c r="C13" s="127"/>
      <c r="D13" s="127"/>
      <c r="E13" s="128"/>
      <c r="F13" s="58"/>
      <c r="G13" s="127"/>
      <c r="H13" s="127"/>
      <c r="I13" s="127"/>
      <c r="J13" s="127"/>
      <c r="K13" s="127"/>
      <c r="L13" s="127"/>
      <c r="M13" s="127"/>
      <c r="N13" s="127"/>
      <c r="O13" s="127"/>
      <c r="P13" s="127"/>
      <c r="Q13" s="127"/>
      <c r="R13" s="127"/>
      <c r="S13" s="127"/>
      <c r="T13" s="127"/>
      <c r="U13" s="127"/>
      <c r="V13" s="127"/>
      <c r="W13" s="65"/>
      <c r="X13" s="128"/>
      <c r="Y13" s="128"/>
      <c r="Z13" s="128"/>
      <c r="AA13" s="128"/>
      <c r="AB13" s="65"/>
      <c r="AC13" s="127"/>
      <c r="AD13" s="127"/>
      <c r="AE13" s="127"/>
      <c r="AF13" s="127"/>
      <c r="AG13" s="127"/>
      <c r="AH13" s="127"/>
      <c r="AI13" s="127"/>
      <c r="AJ13" s="127"/>
      <c r="AK13" s="127"/>
      <c r="AL13" s="127"/>
      <c r="AM13" s="127"/>
      <c r="AN13" s="127"/>
      <c r="AO13" s="127"/>
      <c r="AP13" s="127"/>
      <c r="AQ13" s="127"/>
      <c r="AR13" s="127"/>
      <c r="AS13" s="127"/>
      <c r="AT13" s="191"/>
      <c r="AU13" s="57"/>
    </row>
    <row r="14" spans="1:47" ht="15" customHeight="1" x14ac:dyDescent="0.45">
      <c r="A14" s="127"/>
      <c r="B14" s="127"/>
      <c r="C14" s="127"/>
      <c r="D14" s="127"/>
      <c r="E14" s="128"/>
      <c r="F14" s="58"/>
      <c r="G14" s="127"/>
      <c r="H14" s="127"/>
      <c r="I14" s="127"/>
      <c r="J14" s="127"/>
      <c r="K14" s="127"/>
      <c r="L14" s="127"/>
      <c r="M14" s="127"/>
      <c r="N14" s="127"/>
      <c r="O14" s="127"/>
      <c r="P14" s="127"/>
      <c r="Q14" s="127"/>
      <c r="R14" s="127"/>
      <c r="S14" s="127"/>
      <c r="T14" s="127"/>
      <c r="U14" s="127"/>
      <c r="V14" s="127"/>
      <c r="W14" s="65"/>
      <c r="X14" s="128"/>
      <c r="Y14" s="128"/>
      <c r="Z14" s="128"/>
      <c r="AA14" s="128"/>
      <c r="AB14" s="65"/>
      <c r="AC14" s="127"/>
      <c r="AD14" s="127"/>
      <c r="AE14" s="127"/>
      <c r="AF14" s="127"/>
      <c r="AG14" s="127"/>
      <c r="AH14" s="127"/>
      <c r="AI14" s="127"/>
      <c r="AJ14" s="127"/>
      <c r="AK14" s="127"/>
      <c r="AL14" s="127"/>
      <c r="AM14" s="127"/>
      <c r="AN14" s="127"/>
      <c r="AO14" s="127"/>
      <c r="AP14" s="127"/>
      <c r="AQ14" s="127"/>
      <c r="AR14" s="127"/>
      <c r="AS14" s="127"/>
      <c r="AT14" s="191"/>
      <c r="AU14" s="57"/>
    </row>
    <row r="15" spans="1:47" ht="15" customHeight="1" x14ac:dyDescent="0.45">
      <c r="A15" s="127"/>
      <c r="B15" s="127"/>
      <c r="C15" s="127"/>
      <c r="D15" s="127"/>
      <c r="E15" s="128"/>
      <c r="F15" s="58"/>
      <c r="G15" s="127"/>
      <c r="H15" s="127"/>
      <c r="I15" s="127"/>
      <c r="J15" s="127"/>
      <c r="K15" s="127"/>
      <c r="L15" s="127"/>
      <c r="M15" s="127"/>
      <c r="N15" s="127"/>
      <c r="O15" s="127"/>
      <c r="P15" s="127"/>
      <c r="Q15" s="127"/>
      <c r="R15" s="127"/>
      <c r="S15" s="127"/>
      <c r="T15" s="127"/>
      <c r="U15" s="127"/>
      <c r="V15" s="127"/>
      <c r="W15" s="65"/>
      <c r="X15" s="128"/>
      <c r="Y15" s="128"/>
      <c r="Z15" s="128"/>
      <c r="AA15" s="128"/>
      <c r="AB15" s="65"/>
      <c r="AC15" s="127"/>
      <c r="AD15" s="127"/>
      <c r="AE15" s="127"/>
      <c r="AF15" s="127"/>
      <c r="AG15" s="127"/>
      <c r="AH15" s="127"/>
      <c r="AI15" s="127"/>
      <c r="AJ15" s="127"/>
      <c r="AK15" s="127"/>
      <c r="AL15" s="127"/>
      <c r="AM15" s="127"/>
      <c r="AN15" s="127"/>
      <c r="AO15" s="127"/>
      <c r="AP15" s="127"/>
      <c r="AQ15" s="127"/>
      <c r="AR15" s="127"/>
      <c r="AS15" s="127"/>
      <c r="AT15" s="191"/>
      <c r="AU15" s="57"/>
    </row>
    <row r="16" spans="1:47" ht="15" customHeight="1" x14ac:dyDescent="0.45">
      <c r="A16" s="127"/>
      <c r="B16" s="127"/>
      <c r="C16" s="127"/>
      <c r="D16" s="127"/>
      <c r="E16" s="128"/>
      <c r="F16" s="58"/>
      <c r="G16" s="127"/>
      <c r="H16" s="127"/>
      <c r="I16" s="127"/>
      <c r="J16" s="127"/>
      <c r="K16" s="127"/>
      <c r="L16" s="127"/>
      <c r="M16" s="127"/>
      <c r="N16" s="127"/>
      <c r="O16" s="127"/>
      <c r="P16" s="127"/>
      <c r="Q16" s="127"/>
      <c r="R16" s="127"/>
      <c r="S16" s="127"/>
      <c r="T16" s="127"/>
      <c r="U16" s="127"/>
      <c r="V16" s="127"/>
      <c r="W16" s="65"/>
      <c r="X16" s="128"/>
      <c r="Y16" s="128"/>
      <c r="Z16" s="128"/>
      <c r="AA16" s="128"/>
      <c r="AB16" s="65"/>
      <c r="AC16" s="127"/>
      <c r="AD16" s="127"/>
      <c r="AE16" s="127"/>
      <c r="AF16" s="127"/>
      <c r="AG16" s="127"/>
      <c r="AH16" s="127"/>
      <c r="AI16" s="127"/>
      <c r="AJ16" s="127"/>
      <c r="AK16" s="127"/>
      <c r="AL16" s="127"/>
      <c r="AM16" s="127"/>
      <c r="AN16" s="127"/>
      <c r="AO16" s="127"/>
      <c r="AP16" s="127"/>
      <c r="AQ16" s="127"/>
      <c r="AR16" s="127"/>
      <c r="AS16" s="127"/>
      <c r="AT16" s="191"/>
      <c r="AU16" s="57"/>
    </row>
    <row r="17" spans="1:47" ht="15" customHeight="1" x14ac:dyDescent="0.45">
      <c r="A17" s="127"/>
      <c r="B17" s="127"/>
      <c r="C17" s="127"/>
      <c r="D17" s="127"/>
      <c r="E17" s="128"/>
      <c r="F17" s="58"/>
      <c r="G17" s="127"/>
      <c r="H17" s="127"/>
      <c r="I17" s="127"/>
      <c r="J17" s="127"/>
      <c r="K17" s="127"/>
      <c r="L17" s="127"/>
      <c r="M17" s="127"/>
      <c r="N17" s="127"/>
      <c r="O17" s="127"/>
      <c r="P17" s="127"/>
      <c r="Q17" s="127"/>
      <c r="R17" s="127"/>
      <c r="S17" s="127"/>
      <c r="T17" s="127"/>
      <c r="U17" s="127"/>
      <c r="V17" s="127"/>
      <c r="W17" s="65"/>
      <c r="X17" s="128"/>
      <c r="Y17" s="128"/>
      <c r="Z17" s="128"/>
      <c r="AA17" s="128"/>
      <c r="AB17" s="65"/>
      <c r="AC17" s="127"/>
      <c r="AD17" s="127"/>
      <c r="AE17" s="127"/>
      <c r="AF17" s="127"/>
      <c r="AG17" s="127"/>
      <c r="AH17" s="127"/>
      <c r="AI17" s="127"/>
      <c r="AJ17" s="127"/>
      <c r="AK17" s="127"/>
      <c r="AL17" s="127"/>
      <c r="AM17" s="127"/>
      <c r="AN17" s="127"/>
      <c r="AO17" s="127"/>
      <c r="AP17" s="127"/>
      <c r="AQ17" s="127"/>
      <c r="AR17" s="127"/>
      <c r="AS17" s="127"/>
      <c r="AT17" s="191"/>
      <c r="AU17" s="57"/>
    </row>
    <row r="18" spans="1:47" ht="15" customHeight="1" x14ac:dyDescent="0.45">
      <c r="A18" s="127"/>
      <c r="B18" s="127"/>
      <c r="C18" s="127"/>
      <c r="D18" s="127"/>
      <c r="E18" s="128"/>
      <c r="F18" s="58"/>
      <c r="G18" s="127"/>
      <c r="H18" s="127"/>
      <c r="I18" s="127"/>
      <c r="J18" s="127"/>
      <c r="K18" s="127"/>
      <c r="L18" s="127"/>
      <c r="M18" s="127"/>
      <c r="N18" s="127"/>
      <c r="O18" s="127"/>
      <c r="P18" s="127"/>
      <c r="Q18" s="127"/>
      <c r="R18" s="127"/>
      <c r="S18" s="127"/>
      <c r="T18" s="127"/>
      <c r="U18" s="127"/>
      <c r="V18" s="127"/>
      <c r="W18" s="65"/>
      <c r="X18" s="128"/>
      <c r="Y18" s="128"/>
      <c r="Z18" s="128"/>
      <c r="AA18" s="128"/>
      <c r="AB18" s="65"/>
      <c r="AC18" s="127"/>
      <c r="AD18" s="127"/>
      <c r="AE18" s="127"/>
      <c r="AF18" s="127"/>
      <c r="AG18" s="127"/>
      <c r="AH18" s="127"/>
      <c r="AI18" s="127"/>
      <c r="AJ18" s="127"/>
      <c r="AK18" s="127"/>
      <c r="AL18" s="127"/>
      <c r="AM18" s="127"/>
      <c r="AN18" s="127"/>
      <c r="AO18" s="127"/>
      <c r="AP18" s="127"/>
      <c r="AQ18" s="127"/>
      <c r="AR18" s="127"/>
      <c r="AS18" s="127"/>
      <c r="AT18" s="191"/>
      <c r="AU18" s="57"/>
    </row>
    <row r="19" spans="1:47" ht="15" customHeight="1" x14ac:dyDescent="0.45">
      <c r="A19" s="127"/>
      <c r="B19" s="127"/>
      <c r="C19" s="127"/>
      <c r="D19" s="127"/>
      <c r="E19" s="128"/>
      <c r="F19" s="58"/>
      <c r="G19" s="127"/>
      <c r="H19" s="127"/>
      <c r="I19" s="127"/>
      <c r="J19" s="127"/>
      <c r="K19" s="127"/>
      <c r="L19" s="127"/>
      <c r="M19" s="127"/>
      <c r="N19" s="127"/>
      <c r="O19" s="127"/>
      <c r="P19" s="127"/>
      <c r="Q19" s="127"/>
      <c r="R19" s="127"/>
      <c r="S19" s="127"/>
      <c r="T19" s="127"/>
      <c r="U19" s="127"/>
      <c r="V19" s="127"/>
      <c r="W19" s="65"/>
      <c r="X19" s="128"/>
      <c r="Y19" s="128"/>
      <c r="Z19" s="128"/>
      <c r="AA19" s="128"/>
      <c r="AB19" s="65"/>
      <c r="AC19" s="127"/>
      <c r="AD19" s="127"/>
      <c r="AE19" s="127"/>
      <c r="AF19" s="127"/>
      <c r="AG19" s="127"/>
      <c r="AH19" s="127"/>
      <c r="AI19" s="127"/>
      <c r="AJ19" s="127"/>
      <c r="AK19" s="127"/>
      <c r="AL19" s="127"/>
      <c r="AM19" s="127"/>
      <c r="AN19" s="127"/>
      <c r="AO19" s="127"/>
      <c r="AP19" s="127"/>
      <c r="AQ19" s="127"/>
      <c r="AR19" s="127"/>
      <c r="AS19" s="127"/>
      <c r="AT19" s="191"/>
      <c r="AU19" s="57"/>
    </row>
    <row r="20" spans="1:47" ht="15" customHeight="1" x14ac:dyDescent="0.45">
      <c r="A20" s="127"/>
      <c r="B20" s="127"/>
      <c r="C20" s="127"/>
      <c r="D20" s="127"/>
      <c r="E20" s="128"/>
      <c r="F20" s="58"/>
      <c r="G20" s="127"/>
      <c r="H20" s="127"/>
      <c r="I20" s="127"/>
      <c r="J20" s="127"/>
      <c r="K20" s="127"/>
      <c r="L20" s="127"/>
      <c r="M20" s="127"/>
      <c r="N20" s="127"/>
      <c r="O20" s="127"/>
      <c r="P20" s="127"/>
      <c r="Q20" s="127"/>
      <c r="R20" s="127"/>
      <c r="S20" s="127"/>
      <c r="T20" s="127"/>
      <c r="U20" s="127"/>
      <c r="V20" s="127"/>
      <c r="W20" s="65"/>
      <c r="X20" s="128"/>
      <c r="Y20" s="128"/>
      <c r="Z20" s="128"/>
      <c r="AA20" s="128"/>
      <c r="AB20" s="65"/>
      <c r="AC20" s="127"/>
      <c r="AD20" s="127"/>
      <c r="AE20" s="127"/>
      <c r="AF20" s="127"/>
      <c r="AG20" s="127"/>
      <c r="AH20" s="127"/>
      <c r="AI20" s="127"/>
      <c r="AJ20" s="127"/>
      <c r="AK20" s="127"/>
      <c r="AL20" s="127"/>
      <c r="AM20" s="127"/>
      <c r="AN20" s="127"/>
      <c r="AO20" s="127"/>
      <c r="AP20" s="127"/>
      <c r="AQ20" s="127"/>
      <c r="AR20" s="127"/>
      <c r="AS20" s="127"/>
      <c r="AT20" s="191"/>
      <c r="AU20" s="57"/>
    </row>
    <row r="21" spans="1:47" ht="15" customHeight="1" x14ac:dyDescent="0.45">
      <c r="A21" s="127"/>
      <c r="B21" s="127"/>
      <c r="C21" s="127"/>
      <c r="D21" s="127"/>
      <c r="E21" s="128"/>
      <c r="F21" s="58"/>
      <c r="G21" s="127"/>
      <c r="H21" s="127"/>
      <c r="I21" s="127"/>
      <c r="J21" s="127"/>
      <c r="K21" s="127"/>
      <c r="L21" s="127"/>
      <c r="M21" s="127"/>
      <c r="N21" s="127"/>
      <c r="O21" s="127"/>
      <c r="P21" s="127"/>
      <c r="Q21" s="127"/>
      <c r="R21" s="127"/>
      <c r="S21" s="127"/>
      <c r="T21" s="127"/>
      <c r="U21" s="127"/>
      <c r="V21" s="127"/>
      <c r="W21" s="65"/>
      <c r="X21" s="128"/>
      <c r="Y21" s="128"/>
      <c r="Z21" s="128"/>
      <c r="AA21" s="128"/>
      <c r="AB21" s="65"/>
      <c r="AC21" s="127"/>
      <c r="AD21" s="127"/>
      <c r="AE21" s="127"/>
      <c r="AF21" s="127"/>
      <c r="AG21" s="127"/>
      <c r="AH21" s="127"/>
      <c r="AI21" s="127"/>
      <c r="AJ21" s="127"/>
      <c r="AK21" s="127"/>
      <c r="AL21" s="127"/>
      <c r="AM21" s="127"/>
      <c r="AN21" s="127"/>
      <c r="AO21" s="127"/>
      <c r="AP21" s="127"/>
      <c r="AQ21" s="127"/>
      <c r="AR21" s="127"/>
      <c r="AS21" s="127"/>
      <c r="AT21" s="191"/>
      <c r="AU21" s="57"/>
    </row>
    <row r="22" spans="1:47" ht="15" customHeight="1" x14ac:dyDescent="0.45">
      <c r="A22" s="127"/>
      <c r="B22" s="127"/>
      <c r="C22" s="127"/>
      <c r="D22" s="127"/>
      <c r="E22" s="128"/>
      <c r="F22" s="58"/>
      <c r="G22" s="127"/>
      <c r="H22" s="127"/>
      <c r="I22" s="127"/>
      <c r="J22" s="127"/>
      <c r="K22" s="127"/>
      <c r="L22" s="127"/>
      <c r="M22" s="127"/>
      <c r="N22" s="127"/>
      <c r="O22" s="127"/>
      <c r="P22" s="127"/>
      <c r="Q22" s="127"/>
      <c r="R22" s="127"/>
      <c r="S22" s="127"/>
      <c r="T22" s="127"/>
      <c r="U22" s="127"/>
      <c r="V22" s="127"/>
      <c r="W22" s="65"/>
      <c r="X22" s="128"/>
      <c r="Y22" s="128"/>
      <c r="Z22" s="128"/>
      <c r="AA22" s="128"/>
      <c r="AB22" s="65"/>
      <c r="AC22" s="127"/>
      <c r="AD22" s="127"/>
      <c r="AE22" s="127"/>
      <c r="AF22" s="127"/>
      <c r="AG22" s="127"/>
      <c r="AH22" s="127"/>
      <c r="AI22" s="127"/>
      <c r="AJ22" s="127"/>
      <c r="AK22" s="127"/>
      <c r="AL22" s="127"/>
      <c r="AM22" s="127"/>
      <c r="AN22" s="127"/>
      <c r="AO22" s="127"/>
      <c r="AP22" s="127"/>
      <c r="AQ22" s="127"/>
      <c r="AR22" s="127"/>
      <c r="AS22" s="127"/>
      <c r="AT22" s="191"/>
      <c r="AU22" s="57"/>
    </row>
    <row r="23" spans="1:47" ht="15" customHeight="1" x14ac:dyDescent="0.45">
      <c r="A23" s="127"/>
      <c r="B23" s="127"/>
      <c r="C23" s="127"/>
      <c r="D23" s="127"/>
      <c r="E23" s="128"/>
      <c r="F23" s="58"/>
      <c r="G23" s="127"/>
      <c r="H23" s="127"/>
      <c r="I23" s="127"/>
      <c r="J23" s="127"/>
      <c r="K23" s="127"/>
      <c r="L23" s="127"/>
      <c r="M23" s="127"/>
      <c r="N23" s="127"/>
      <c r="O23" s="127"/>
      <c r="P23" s="127"/>
      <c r="Q23" s="127"/>
      <c r="R23" s="127"/>
      <c r="S23" s="127"/>
      <c r="T23" s="127"/>
      <c r="U23" s="127"/>
      <c r="V23" s="127"/>
      <c r="W23" s="65"/>
      <c r="X23" s="128"/>
      <c r="Y23" s="128"/>
      <c r="Z23" s="128"/>
      <c r="AA23" s="128"/>
      <c r="AB23" s="65"/>
      <c r="AC23" s="127"/>
      <c r="AD23" s="127"/>
      <c r="AE23" s="127"/>
      <c r="AF23" s="127"/>
      <c r="AG23" s="127"/>
      <c r="AH23" s="127"/>
      <c r="AI23" s="127"/>
      <c r="AJ23" s="127"/>
      <c r="AK23" s="127"/>
      <c r="AL23" s="127"/>
      <c r="AM23" s="127"/>
      <c r="AN23" s="127"/>
      <c r="AO23" s="127"/>
      <c r="AP23" s="127"/>
      <c r="AQ23" s="127"/>
      <c r="AR23" s="127"/>
      <c r="AS23" s="127"/>
      <c r="AT23" s="191"/>
      <c r="AU23" s="57"/>
    </row>
    <row r="24" spans="1:47" ht="15" customHeight="1" x14ac:dyDescent="0.45">
      <c r="A24" s="127"/>
      <c r="B24" s="127"/>
      <c r="C24" s="127"/>
      <c r="D24" s="127"/>
      <c r="E24" s="128"/>
      <c r="F24" s="58"/>
      <c r="G24" s="127"/>
      <c r="H24" s="127"/>
      <c r="I24" s="127"/>
      <c r="J24" s="127"/>
      <c r="K24" s="127"/>
      <c r="L24" s="127"/>
      <c r="M24" s="127"/>
      <c r="N24" s="127"/>
      <c r="O24" s="127"/>
      <c r="P24" s="127"/>
      <c r="Q24" s="127"/>
      <c r="R24" s="127"/>
      <c r="S24" s="127"/>
      <c r="T24" s="127"/>
      <c r="U24" s="127"/>
      <c r="V24" s="127"/>
      <c r="W24" s="65"/>
      <c r="X24" s="128"/>
      <c r="Y24" s="128"/>
      <c r="Z24" s="128"/>
      <c r="AA24" s="128"/>
      <c r="AB24" s="65"/>
      <c r="AC24" s="127"/>
      <c r="AD24" s="127"/>
      <c r="AE24" s="127"/>
      <c r="AF24" s="127"/>
      <c r="AG24" s="127"/>
      <c r="AH24" s="127"/>
      <c r="AI24" s="127"/>
      <c r="AJ24" s="127"/>
      <c r="AK24" s="127"/>
      <c r="AL24" s="127"/>
      <c r="AM24" s="127"/>
      <c r="AN24" s="127"/>
      <c r="AO24" s="127"/>
      <c r="AP24" s="127"/>
      <c r="AQ24" s="127"/>
      <c r="AR24" s="127"/>
      <c r="AS24" s="127"/>
      <c r="AT24" s="191"/>
      <c r="AU24" s="57"/>
    </row>
    <row r="25" spans="1:47" ht="15" customHeight="1" x14ac:dyDescent="0.45">
      <c r="A25" s="127"/>
      <c r="B25" s="127"/>
      <c r="C25" s="127"/>
      <c r="D25" s="127"/>
      <c r="E25" s="128"/>
      <c r="F25" s="58"/>
      <c r="G25" s="127"/>
      <c r="H25" s="127"/>
      <c r="I25" s="127"/>
      <c r="J25" s="127"/>
      <c r="K25" s="127"/>
      <c r="L25" s="127"/>
      <c r="M25" s="127"/>
      <c r="N25" s="127"/>
      <c r="O25" s="127"/>
      <c r="P25" s="127"/>
      <c r="Q25" s="127"/>
      <c r="R25" s="127"/>
      <c r="S25" s="127"/>
      <c r="T25" s="127"/>
      <c r="U25" s="127"/>
      <c r="V25" s="127"/>
      <c r="W25" s="65"/>
      <c r="X25" s="128"/>
      <c r="Y25" s="128"/>
      <c r="Z25" s="128"/>
      <c r="AA25" s="128"/>
      <c r="AB25" s="65"/>
      <c r="AC25" s="127"/>
      <c r="AD25" s="127"/>
      <c r="AE25" s="127"/>
      <c r="AF25" s="127"/>
      <c r="AG25" s="127"/>
      <c r="AH25" s="127"/>
      <c r="AI25" s="127"/>
      <c r="AJ25" s="127"/>
      <c r="AK25" s="127"/>
      <c r="AL25" s="127"/>
      <c r="AM25" s="127"/>
      <c r="AN25" s="127"/>
      <c r="AO25" s="127"/>
      <c r="AP25" s="127"/>
      <c r="AQ25" s="127"/>
      <c r="AR25" s="127"/>
      <c r="AS25" s="127"/>
      <c r="AT25" s="191"/>
      <c r="AU25" s="57"/>
    </row>
    <row r="26" spans="1:47" ht="15" customHeight="1" x14ac:dyDescent="0.45">
      <c r="A26" s="127"/>
      <c r="B26" s="127"/>
      <c r="C26" s="127"/>
      <c r="D26" s="127"/>
      <c r="E26" s="128"/>
      <c r="F26" s="58"/>
      <c r="G26" s="127"/>
      <c r="H26" s="127"/>
      <c r="I26" s="127"/>
      <c r="J26" s="127"/>
      <c r="K26" s="127"/>
      <c r="L26" s="127"/>
      <c r="M26" s="127"/>
      <c r="N26" s="127"/>
      <c r="O26" s="127"/>
      <c r="P26" s="127"/>
      <c r="Q26" s="127"/>
      <c r="R26" s="127"/>
      <c r="S26" s="127"/>
      <c r="T26" s="127"/>
      <c r="U26" s="127"/>
      <c r="V26" s="127"/>
      <c r="W26" s="65"/>
      <c r="X26" s="128"/>
      <c r="Y26" s="128"/>
      <c r="Z26" s="128"/>
      <c r="AA26" s="128"/>
      <c r="AB26" s="65"/>
      <c r="AC26" s="127"/>
      <c r="AD26" s="127"/>
      <c r="AE26" s="127"/>
      <c r="AF26" s="127"/>
      <c r="AG26" s="127"/>
      <c r="AH26" s="127"/>
      <c r="AI26" s="127"/>
      <c r="AJ26" s="127"/>
      <c r="AK26" s="127"/>
      <c r="AL26" s="127"/>
      <c r="AM26" s="127"/>
      <c r="AN26" s="127"/>
      <c r="AO26" s="127"/>
      <c r="AP26" s="127"/>
      <c r="AQ26" s="127"/>
      <c r="AR26" s="127"/>
      <c r="AS26" s="127"/>
      <c r="AT26" s="191"/>
      <c r="AU26" s="57"/>
    </row>
    <row r="27" spans="1:47" ht="15" customHeight="1" x14ac:dyDescent="0.45">
      <c r="A27" s="127"/>
      <c r="B27" s="127"/>
      <c r="C27" s="127"/>
      <c r="D27" s="127"/>
      <c r="E27" s="128"/>
      <c r="F27" s="58"/>
      <c r="G27" s="127"/>
      <c r="H27" s="127"/>
      <c r="I27" s="127"/>
      <c r="J27" s="127"/>
      <c r="K27" s="127"/>
      <c r="L27" s="127"/>
      <c r="M27" s="127"/>
      <c r="N27" s="127"/>
      <c r="O27" s="127"/>
      <c r="P27" s="127"/>
      <c r="Q27" s="127"/>
      <c r="R27" s="127"/>
      <c r="S27" s="127"/>
      <c r="T27" s="127"/>
      <c r="U27" s="127"/>
      <c r="V27" s="127"/>
      <c r="W27" s="65"/>
      <c r="X27" s="128"/>
      <c r="Y27" s="128"/>
      <c r="Z27" s="128"/>
      <c r="AA27" s="128"/>
      <c r="AB27" s="65"/>
      <c r="AC27" s="127"/>
      <c r="AD27" s="127"/>
      <c r="AE27" s="127"/>
      <c r="AF27" s="127"/>
      <c r="AG27" s="127"/>
      <c r="AH27" s="127"/>
      <c r="AI27" s="127"/>
      <c r="AJ27" s="127"/>
      <c r="AK27" s="127"/>
      <c r="AL27" s="127"/>
      <c r="AM27" s="127"/>
      <c r="AN27" s="127"/>
      <c r="AO27" s="127"/>
      <c r="AP27" s="127"/>
      <c r="AQ27" s="127"/>
      <c r="AR27" s="127"/>
      <c r="AS27" s="127"/>
      <c r="AT27" s="191"/>
      <c r="AU27" s="57"/>
    </row>
    <row r="28" spans="1:47" ht="15" customHeight="1" x14ac:dyDescent="0.45">
      <c r="A28" s="57"/>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T28" s="192"/>
      <c r="AU28" s="57"/>
    </row>
    <row r="29" spans="1:47" ht="15" customHeight="1" x14ac:dyDescent="0.45">
      <c r="A29" s="57"/>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T29" s="192"/>
      <c r="AU29" s="57"/>
    </row>
    <row r="30" spans="1:47" ht="15" customHeight="1" x14ac:dyDescent="0.45">
      <c r="A30" s="337" t="s">
        <v>28</v>
      </c>
      <c r="B30" s="338"/>
      <c r="C30" s="338"/>
      <c r="D30" s="338"/>
      <c r="E30" s="339"/>
      <c r="F30" s="103"/>
      <c r="G30" s="129"/>
      <c r="H30" s="129"/>
      <c r="I30" s="129"/>
      <c r="J30" s="129"/>
      <c r="K30" s="129"/>
      <c r="L30" s="129"/>
      <c r="M30" s="129"/>
      <c r="N30" s="129"/>
      <c r="O30" s="129"/>
      <c r="P30" s="129"/>
      <c r="Q30" s="129"/>
      <c r="R30" s="129"/>
      <c r="S30" s="129"/>
      <c r="T30" s="129"/>
      <c r="U30" s="129"/>
      <c r="V30" s="129"/>
      <c r="W30" s="104"/>
      <c r="X30" s="130"/>
      <c r="Y30" s="130"/>
      <c r="Z30" s="130"/>
      <c r="AA30" s="130"/>
      <c r="AB30" s="104"/>
      <c r="AC30" s="129"/>
      <c r="AD30" s="129"/>
      <c r="AE30" s="129"/>
      <c r="AF30" s="129"/>
      <c r="AG30" s="129"/>
      <c r="AH30" s="129"/>
      <c r="AI30" s="129"/>
      <c r="AJ30" s="129"/>
      <c r="AK30" s="129"/>
      <c r="AL30" s="129"/>
      <c r="AM30" s="129"/>
      <c r="AN30" s="129"/>
      <c r="AO30" s="129"/>
      <c r="AP30" s="129"/>
      <c r="AQ30" s="129"/>
      <c r="AR30" s="129"/>
      <c r="AS30" s="129"/>
      <c r="AT30" s="131"/>
    </row>
    <row r="31" spans="1:47" ht="15" customHeight="1" x14ac:dyDescent="0.45">
      <c r="A31" s="105"/>
      <c r="B31" s="128"/>
      <c r="C31" s="128"/>
      <c r="D31" s="128"/>
      <c r="E31" s="128"/>
      <c r="F31" s="58"/>
      <c r="G31" s="127"/>
      <c r="H31" s="127"/>
      <c r="I31" s="127"/>
      <c r="J31" s="127"/>
      <c r="K31" s="127"/>
      <c r="L31" s="127"/>
      <c r="M31" s="127"/>
      <c r="N31" s="127"/>
      <c r="O31" s="127"/>
      <c r="P31" s="127"/>
      <c r="Q31" s="127"/>
      <c r="R31" s="127"/>
      <c r="S31" s="127"/>
      <c r="T31" s="127"/>
      <c r="U31" s="127"/>
      <c r="V31" s="127"/>
      <c r="W31" s="65"/>
      <c r="X31" s="128"/>
      <c r="Y31" s="128"/>
      <c r="Z31" s="128"/>
      <c r="AA31" s="128"/>
      <c r="AB31" s="65"/>
      <c r="AC31" s="127"/>
      <c r="AD31" s="127"/>
      <c r="AE31" s="127"/>
      <c r="AF31" s="127"/>
      <c r="AG31" s="127"/>
      <c r="AH31" s="127"/>
      <c r="AI31" s="127"/>
      <c r="AJ31" s="127"/>
      <c r="AK31" s="127"/>
      <c r="AL31" s="127"/>
      <c r="AM31" s="127"/>
      <c r="AN31" s="127"/>
      <c r="AO31" s="127"/>
      <c r="AP31" s="127"/>
      <c r="AQ31" s="127"/>
      <c r="AR31" s="127"/>
      <c r="AS31" s="127"/>
      <c r="AT31" s="132"/>
    </row>
    <row r="32" spans="1:47" ht="15" customHeight="1" x14ac:dyDescent="0.45">
      <c r="A32" s="105"/>
      <c r="B32" s="128"/>
      <c r="C32" s="128"/>
      <c r="D32" s="128"/>
      <c r="E32" s="128"/>
      <c r="F32" s="58"/>
      <c r="G32" s="127"/>
      <c r="H32" s="127"/>
      <c r="I32" s="127"/>
      <c r="J32" s="127"/>
      <c r="K32" s="127"/>
      <c r="L32" s="127"/>
      <c r="M32" s="127"/>
      <c r="N32" s="127"/>
      <c r="O32" s="127"/>
      <c r="P32" s="127"/>
      <c r="Q32" s="127"/>
      <c r="R32" s="127"/>
      <c r="S32" s="127"/>
      <c r="T32" s="127"/>
      <c r="U32" s="127"/>
      <c r="V32" s="127"/>
      <c r="W32" s="65"/>
      <c r="X32" s="128"/>
      <c r="Y32" s="128"/>
      <c r="Z32" s="128"/>
      <c r="AA32" s="128"/>
      <c r="AB32" s="65"/>
      <c r="AC32" s="127"/>
      <c r="AD32" s="127"/>
      <c r="AE32" s="127"/>
      <c r="AF32" s="127"/>
      <c r="AG32" s="127"/>
      <c r="AH32" s="127"/>
      <c r="AI32" s="127"/>
      <c r="AJ32" s="127"/>
      <c r="AK32" s="127"/>
      <c r="AL32" s="127"/>
      <c r="AM32" s="127"/>
      <c r="AN32" s="127"/>
      <c r="AO32" s="127"/>
      <c r="AP32" s="127"/>
      <c r="AQ32" s="127"/>
      <c r="AR32" s="127"/>
      <c r="AS32" s="127"/>
      <c r="AT32" s="132"/>
    </row>
    <row r="33" spans="1:49" ht="15" customHeight="1" x14ac:dyDescent="0.45">
      <c r="A33" s="105"/>
      <c r="B33" s="133" t="s">
        <v>29</v>
      </c>
      <c r="C33" s="128"/>
      <c r="D33" s="128"/>
      <c r="E33" s="128"/>
      <c r="F33" s="58"/>
      <c r="G33" s="127"/>
      <c r="H33" s="127"/>
      <c r="I33" s="127"/>
      <c r="J33" s="127"/>
      <c r="K33" s="127"/>
      <c r="L33" s="127"/>
      <c r="M33" s="127"/>
      <c r="N33" s="127"/>
      <c r="O33" s="127"/>
      <c r="P33" s="127"/>
      <c r="Q33" s="127"/>
      <c r="R33" s="127"/>
      <c r="S33" s="127"/>
      <c r="T33" s="127"/>
      <c r="U33" s="127"/>
      <c r="V33" s="127"/>
      <c r="W33" s="65"/>
      <c r="X33" s="128"/>
      <c r="Y33" s="128"/>
      <c r="Z33" s="128"/>
      <c r="AA33" s="128"/>
      <c r="AB33" s="65"/>
      <c r="AC33" s="127"/>
      <c r="AD33" s="127"/>
      <c r="AE33" s="127"/>
      <c r="AF33" s="127"/>
      <c r="AG33" s="127"/>
      <c r="AH33" s="127"/>
      <c r="AI33" s="127"/>
      <c r="AJ33" s="127"/>
      <c r="AK33" s="127"/>
      <c r="AL33" s="127"/>
      <c r="AM33" s="127"/>
      <c r="AN33" s="127"/>
      <c r="AO33" s="127"/>
      <c r="AP33" s="127"/>
      <c r="AQ33" s="127"/>
      <c r="AR33" s="127"/>
      <c r="AS33" s="127"/>
      <c r="AT33" s="132"/>
    </row>
    <row r="34" spans="1:49" ht="15" customHeight="1" x14ac:dyDescent="0.45">
      <c r="A34" s="106"/>
      <c r="C34" s="56" t="s">
        <v>30</v>
      </c>
      <c r="AT34" s="107"/>
    </row>
    <row r="35" spans="1:49" ht="15" customHeight="1" x14ac:dyDescent="0.45">
      <c r="A35" s="108"/>
      <c r="AT35" s="107"/>
    </row>
    <row r="36" spans="1:49" ht="15" customHeight="1" x14ac:dyDescent="0.45">
      <c r="A36" s="108"/>
      <c r="B36" s="133" t="s">
        <v>31</v>
      </c>
      <c r="AT36" s="107"/>
    </row>
    <row r="37" spans="1:49" ht="15" customHeight="1" x14ac:dyDescent="0.45">
      <c r="A37" s="108"/>
      <c r="B37" s="133"/>
      <c r="C37" s="56" t="s">
        <v>32</v>
      </c>
      <c r="AT37" s="107"/>
    </row>
    <row r="38" spans="1:49" ht="15" customHeight="1" x14ac:dyDescent="0.45">
      <c r="A38" s="108"/>
      <c r="B38" s="133"/>
      <c r="AT38" s="107"/>
    </row>
    <row r="39" spans="1:49" ht="15" customHeight="1" x14ac:dyDescent="0.45">
      <c r="A39" s="108"/>
      <c r="B39" s="70" t="s">
        <v>33</v>
      </c>
      <c r="F39" s="134"/>
      <c r="AT39" s="107"/>
    </row>
    <row r="40" spans="1:49" ht="15" customHeight="1" x14ac:dyDescent="0.45">
      <c r="A40" s="108"/>
      <c r="B40" s="70"/>
      <c r="C40" s="56" t="s">
        <v>34</v>
      </c>
      <c r="F40" s="134"/>
      <c r="AT40" s="107"/>
      <c r="AW40" s="56" t="s">
        <v>35</v>
      </c>
    </row>
    <row r="41" spans="1:49" ht="15" customHeight="1" x14ac:dyDescent="0.45">
      <c r="A41" s="108"/>
      <c r="C41" s="56" t="s">
        <v>36</v>
      </c>
      <c r="AT41" s="107"/>
    </row>
    <row r="42" spans="1:49" ht="15" customHeight="1" x14ac:dyDescent="0.45">
      <c r="A42" s="108"/>
      <c r="D42" s="56" t="s">
        <v>37</v>
      </c>
      <c r="AT42" s="107"/>
      <c r="AW42" s="56" t="s">
        <v>38</v>
      </c>
    </row>
    <row r="43" spans="1:49" ht="15" customHeight="1" x14ac:dyDescent="0.45">
      <c r="A43" s="108"/>
      <c r="D43" s="56" t="s">
        <v>39</v>
      </c>
      <c r="AT43" s="107"/>
    </row>
    <row r="44" spans="1:49" ht="15" customHeight="1" x14ac:dyDescent="0.45">
      <c r="A44" s="108"/>
      <c r="D44" s="56" t="s">
        <v>40</v>
      </c>
      <c r="AT44" s="107"/>
    </row>
    <row r="45" spans="1:49" ht="15" customHeight="1" x14ac:dyDescent="0.45">
      <c r="A45" s="108"/>
      <c r="E45" s="56" t="s">
        <v>41</v>
      </c>
      <c r="AT45" s="107"/>
      <c r="AW45" s="56" t="s">
        <v>35</v>
      </c>
    </row>
    <row r="46" spans="1:49" ht="15" customHeight="1" x14ac:dyDescent="0.45">
      <c r="A46" s="108"/>
      <c r="F46" s="56" t="s">
        <v>42</v>
      </c>
      <c r="AT46" s="107"/>
      <c r="AW46" s="56" t="s">
        <v>43</v>
      </c>
    </row>
    <row r="47" spans="1:49" ht="15" customHeight="1" x14ac:dyDescent="0.45">
      <c r="A47" s="108"/>
      <c r="E47" s="56" t="s">
        <v>44</v>
      </c>
      <c r="AT47" s="107"/>
      <c r="AW47" s="56" t="s">
        <v>35</v>
      </c>
    </row>
    <row r="48" spans="1:49" ht="15" customHeight="1" x14ac:dyDescent="0.45">
      <c r="A48" s="108"/>
      <c r="AT48" s="107"/>
    </row>
    <row r="49" spans="1:70" ht="15" customHeight="1" x14ac:dyDescent="0.45">
      <c r="A49" s="108"/>
      <c r="D49" s="56" t="s">
        <v>45</v>
      </c>
      <c r="AT49" s="107"/>
    </row>
    <row r="50" spans="1:70" ht="15" customHeight="1" x14ac:dyDescent="0.45">
      <c r="A50" s="108"/>
      <c r="E50" s="56" t="s">
        <v>46</v>
      </c>
      <c r="AT50" s="107"/>
    </row>
    <row r="51" spans="1:70" ht="15" customHeight="1" x14ac:dyDescent="0.45">
      <c r="A51" s="108"/>
      <c r="E51" s="56" t="s">
        <v>47</v>
      </c>
      <c r="AT51" s="107"/>
    </row>
    <row r="52" spans="1:70" ht="15" customHeight="1" x14ac:dyDescent="0.45">
      <c r="A52" s="108"/>
      <c r="E52" s="56" t="s">
        <v>48</v>
      </c>
      <c r="AT52" s="107"/>
    </row>
    <row r="53" spans="1:70" ht="15" customHeight="1" x14ac:dyDescent="0.45">
      <c r="A53" s="108"/>
      <c r="E53" s="160" t="s">
        <v>49</v>
      </c>
      <c r="AD53" s="136"/>
      <c r="AT53" s="107"/>
      <c r="AW53" s="56" t="s">
        <v>50</v>
      </c>
    </row>
    <row r="54" spans="1:70" ht="15" customHeight="1" x14ac:dyDescent="0.45">
      <c r="A54" s="108"/>
      <c r="E54" s="56" t="s">
        <v>51</v>
      </c>
      <c r="AT54" s="107"/>
    </row>
    <row r="55" spans="1:70" ht="15" customHeight="1" x14ac:dyDescent="0.45">
      <c r="A55" s="108"/>
      <c r="E55" s="56" t="s">
        <v>52</v>
      </c>
      <c r="AT55" s="107"/>
    </row>
    <row r="56" spans="1:70" ht="15" customHeight="1" x14ac:dyDescent="0.45">
      <c r="A56" s="108"/>
      <c r="F56" s="56" t="s">
        <v>53</v>
      </c>
      <c r="AT56" s="107"/>
    </row>
    <row r="57" spans="1:70" ht="15" customHeight="1" x14ac:dyDescent="0.45">
      <c r="A57" s="108"/>
      <c r="F57" s="56" t="s">
        <v>54</v>
      </c>
      <c r="AT57" s="107"/>
    </row>
    <row r="58" spans="1:70" ht="15" customHeight="1" x14ac:dyDescent="0.45">
      <c r="A58" s="108"/>
      <c r="F58" s="56" t="s">
        <v>55</v>
      </c>
      <c r="AT58" s="107"/>
    </row>
    <row r="59" spans="1:70" ht="15" customHeight="1" x14ac:dyDescent="0.45">
      <c r="A59" s="108"/>
      <c r="F59" s="56" t="s">
        <v>56</v>
      </c>
      <c r="AT59" s="107"/>
      <c r="BH59" s="56" t="s">
        <v>57</v>
      </c>
      <c r="BI59" s="56" t="s">
        <v>58</v>
      </c>
      <c r="BJ59" s="56" t="s">
        <v>59</v>
      </c>
      <c r="BL59" s="56" t="s">
        <v>60</v>
      </c>
      <c r="BR59" s="56" t="s">
        <v>61</v>
      </c>
    </row>
    <row r="60" spans="1:70" ht="15" customHeight="1" x14ac:dyDescent="0.45">
      <c r="A60" s="108"/>
      <c r="F60" s="56" t="s">
        <v>62</v>
      </c>
      <c r="AT60" s="107"/>
      <c r="BH60" s="56">
        <v>800001</v>
      </c>
      <c r="BI60" s="135" t="s">
        <v>63</v>
      </c>
      <c r="BJ60" s="135" t="s">
        <v>64</v>
      </c>
      <c r="BL60" s="136" t="s">
        <v>65</v>
      </c>
      <c r="BO60" s="56" t="s">
        <v>66</v>
      </c>
      <c r="BR60" s="136" t="s">
        <v>67</v>
      </c>
    </row>
    <row r="61" spans="1:70" ht="15" customHeight="1" x14ac:dyDescent="0.45">
      <c r="A61" s="108"/>
      <c r="F61" s="56" t="s">
        <v>68</v>
      </c>
      <c r="AT61" s="107"/>
      <c r="BH61" s="56">
        <v>800002</v>
      </c>
      <c r="BI61" s="136">
        <v>10</v>
      </c>
      <c r="BJ61" s="136" t="s">
        <v>65</v>
      </c>
      <c r="BL61" s="136" t="s">
        <v>65</v>
      </c>
      <c r="BO61" s="56" t="s">
        <v>69</v>
      </c>
      <c r="BR61" s="136" t="s">
        <v>70</v>
      </c>
    </row>
    <row r="62" spans="1:70" ht="15" customHeight="1" x14ac:dyDescent="0.45">
      <c r="A62" s="108"/>
      <c r="E62" s="56" t="s">
        <v>71</v>
      </c>
      <c r="AT62" s="107"/>
      <c r="AV62" s="136"/>
      <c r="BH62" s="56">
        <v>800003</v>
      </c>
      <c r="BI62" s="136"/>
      <c r="BJ62" s="136" t="s">
        <v>65</v>
      </c>
      <c r="BL62" s="136" t="s">
        <v>65</v>
      </c>
      <c r="BO62" s="56" t="s">
        <v>69</v>
      </c>
      <c r="BR62" s="136" t="s">
        <v>72</v>
      </c>
    </row>
    <row r="63" spans="1:70" ht="15" customHeight="1" x14ac:dyDescent="0.45">
      <c r="A63" s="108"/>
      <c r="F63" s="56" t="s">
        <v>73</v>
      </c>
      <c r="AT63" s="107"/>
      <c r="AV63" s="136"/>
      <c r="AW63" s="56" t="s">
        <v>74</v>
      </c>
      <c r="BH63" s="56">
        <v>800004</v>
      </c>
      <c r="BI63" s="136"/>
      <c r="BJ63" s="136" t="s">
        <v>65</v>
      </c>
      <c r="BL63" s="136" t="s">
        <v>65</v>
      </c>
      <c r="BO63" s="56" t="s">
        <v>69</v>
      </c>
      <c r="BR63" s="136" t="s">
        <v>75</v>
      </c>
    </row>
    <row r="64" spans="1:70" ht="15" customHeight="1" x14ac:dyDescent="0.45">
      <c r="A64" s="108"/>
      <c r="F64" s="56" t="s">
        <v>76</v>
      </c>
      <c r="AT64" s="107"/>
      <c r="AV64" s="136"/>
      <c r="AW64" s="56" t="s">
        <v>74</v>
      </c>
      <c r="BI64" s="136"/>
      <c r="BJ64" s="136"/>
      <c r="BL64" s="136"/>
      <c r="BR64" s="136"/>
    </row>
    <row r="65" spans="1:62" ht="15" customHeight="1" x14ac:dyDescent="0.45">
      <c r="A65" s="108"/>
      <c r="F65" s="56" t="s">
        <v>77</v>
      </c>
      <c r="AT65" s="107"/>
      <c r="AV65" s="136"/>
      <c r="AW65" s="56" t="s">
        <v>74</v>
      </c>
    </row>
    <row r="66" spans="1:62" ht="15" customHeight="1" x14ac:dyDescent="0.45">
      <c r="A66" s="108"/>
      <c r="F66" s="56" t="s">
        <v>78</v>
      </c>
      <c r="AT66" s="107"/>
      <c r="AV66" s="136"/>
      <c r="AW66" s="56" t="s">
        <v>74</v>
      </c>
    </row>
    <row r="67" spans="1:62" ht="15" customHeight="1" x14ac:dyDescent="0.45">
      <c r="A67" s="108"/>
      <c r="F67" s="160" t="s">
        <v>79</v>
      </c>
      <c r="G67" s="160"/>
      <c r="AT67" s="107"/>
      <c r="AV67" s="136"/>
      <c r="AW67" s="56" t="s">
        <v>74</v>
      </c>
      <c r="BF67" s="316" t="s">
        <v>818</v>
      </c>
    </row>
    <row r="68" spans="1:62" ht="15" customHeight="1" x14ac:dyDescent="0.45">
      <c r="A68" s="108"/>
      <c r="E68" s="56" t="s">
        <v>80</v>
      </c>
      <c r="AT68" s="107"/>
      <c r="AV68" s="136"/>
    </row>
    <row r="69" spans="1:62" ht="15" customHeight="1" x14ac:dyDescent="0.45">
      <c r="A69" s="108"/>
      <c r="E69" s="56" t="s">
        <v>81</v>
      </c>
      <c r="AT69" s="107"/>
      <c r="AV69" s="136"/>
      <c r="AW69" s="56" t="s">
        <v>82</v>
      </c>
    </row>
    <row r="70" spans="1:62" ht="15" customHeight="1" x14ac:dyDescent="0.45">
      <c r="A70" s="108"/>
      <c r="F70" s="56" t="s">
        <v>83</v>
      </c>
      <c r="AT70" s="107"/>
      <c r="AV70" s="136"/>
      <c r="AW70" s="56" t="s">
        <v>82</v>
      </c>
    </row>
    <row r="71" spans="1:62" ht="15" customHeight="1" x14ac:dyDescent="0.45">
      <c r="A71" s="108"/>
      <c r="F71" s="56" t="s">
        <v>84</v>
      </c>
      <c r="AT71" s="107"/>
      <c r="AW71" s="56" t="s">
        <v>82</v>
      </c>
      <c r="BH71" s="56" t="s">
        <v>85</v>
      </c>
      <c r="BJ71" s="135" t="s">
        <v>86</v>
      </c>
    </row>
    <row r="72" spans="1:62" ht="15" customHeight="1" x14ac:dyDescent="0.45">
      <c r="A72" s="108"/>
      <c r="E72" s="56" t="s">
        <v>87</v>
      </c>
      <c r="AT72" s="107"/>
      <c r="AV72" s="136"/>
      <c r="AW72" s="56" t="s">
        <v>88</v>
      </c>
    </row>
    <row r="73" spans="1:62" ht="15" customHeight="1" x14ac:dyDescent="0.45">
      <c r="A73" s="108"/>
      <c r="AT73" s="107"/>
      <c r="BJ73" s="135"/>
    </row>
    <row r="74" spans="1:62" ht="15" customHeight="1" x14ac:dyDescent="0.45">
      <c r="A74" s="108"/>
      <c r="B74" s="70" t="s">
        <v>89</v>
      </c>
      <c r="AT74" s="107"/>
    </row>
    <row r="75" spans="1:62" ht="15" customHeight="1" x14ac:dyDescent="0.45">
      <c r="A75" s="108"/>
      <c r="B75" s="56" t="s">
        <v>90</v>
      </c>
      <c r="AT75" s="107"/>
      <c r="AW75" s="56" t="s">
        <v>82</v>
      </c>
    </row>
    <row r="76" spans="1:62" ht="15" customHeight="1" x14ac:dyDescent="0.45">
      <c r="A76" s="108"/>
      <c r="B76" s="56" t="s">
        <v>91</v>
      </c>
      <c r="AT76" s="107"/>
    </row>
    <row r="77" spans="1:62" ht="15" customHeight="1" x14ac:dyDescent="0.45">
      <c r="A77" s="108"/>
      <c r="B77" s="56" t="s">
        <v>92</v>
      </c>
      <c r="O77" s="136"/>
      <c r="AT77" s="107"/>
    </row>
    <row r="78" spans="1:62" s="141" customFormat="1" ht="15" customHeight="1" x14ac:dyDescent="0.45">
      <c r="A78" s="140"/>
      <c r="C78" s="141" t="s">
        <v>93</v>
      </c>
      <c r="O78" s="161"/>
      <c r="AT78" s="142"/>
    </row>
    <row r="79" spans="1:62" ht="15" customHeight="1" x14ac:dyDescent="0.45">
      <c r="A79" s="108"/>
      <c r="C79" s="56" t="s">
        <v>94</v>
      </c>
      <c r="AT79" s="107"/>
    </row>
    <row r="80" spans="1:62" s="141" customFormat="1" ht="15" customHeight="1" x14ac:dyDescent="0.45">
      <c r="A80" s="140"/>
      <c r="B80" s="141" t="s">
        <v>95</v>
      </c>
      <c r="AT80" s="142"/>
      <c r="AW80" s="141" t="s">
        <v>96</v>
      </c>
    </row>
    <row r="81" spans="1:46" s="141" customFormat="1" ht="15" customHeight="1" x14ac:dyDescent="0.45">
      <c r="A81" s="140"/>
      <c r="C81" s="141" t="s">
        <v>97</v>
      </c>
      <c r="AT81" s="142"/>
    </row>
    <row r="82" spans="1:46" s="141" customFormat="1" ht="15" customHeight="1" x14ac:dyDescent="0.45">
      <c r="A82" s="140"/>
      <c r="C82" s="141" t="s">
        <v>98</v>
      </c>
      <c r="AT82" s="142"/>
    </row>
    <row r="83" spans="1:46" s="141" customFormat="1" ht="15" customHeight="1" x14ac:dyDescent="0.45">
      <c r="A83" s="140"/>
      <c r="C83" s="141" t="s">
        <v>99</v>
      </c>
      <c r="AT83" s="142"/>
    </row>
    <row r="84" spans="1:46" s="141" customFormat="1" ht="15" customHeight="1" x14ac:dyDescent="0.45">
      <c r="A84" s="140"/>
      <c r="D84" s="141" t="s">
        <v>100</v>
      </c>
      <c r="AT84" s="142"/>
    </row>
    <row r="85" spans="1:46" s="141" customFormat="1" ht="15" customHeight="1" x14ac:dyDescent="0.45">
      <c r="A85" s="140"/>
      <c r="C85" s="141" t="s">
        <v>101</v>
      </c>
      <c r="AT85" s="142"/>
    </row>
    <row r="86" spans="1:46" s="141" customFormat="1" ht="15" customHeight="1" x14ac:dyDescent="0.45">
      <c r="A86" s="140"/>
      <c r="C86" s="141" t="s">
        <v>102</v>
      </c>
      <c r="AT86" s="142"/>
    </row>
    <row r="87" spans="1:46" s="141" customFormat="1" ht="15" customHeight="1" x14ac:dyDescent="0.45">
      <c r="A87" s="140"/>
      <c r="D87" s="141" t="s">
        <v>103</v>
      </c>
      <c r="AT87" s="142"/>
    </row>
    <row r="88" spans="1:46" ht="15" customHeight="1" x14ac:dyDescent="0.45">
      <c r="A88" s="108"/>
      <c r="B88" s="56" t="s">
        <v>104</v>
      </c>
      <c r="AT88" s="107"/>
    </row>
    <row r="89" spans="1:46" ht="15" customHeight="1" x14ac:dyDescent="0.45">
      <c r="A89" s="108"/>
      <c r="C89" s="56" t="s">
        <v>105</v>
      </c>
      <c r="AT89" s="107"/>
    </row>
    <row r="90" spans="1:46" ht="15" customHeight="1" x14ac:dyDescent="0.45">
      <c r="A90" s="108"/>
      <c r="C90" s="56" t="s">
        <v>106</v>
      </c>
      <c r="AT90" s="107"/>
    </row>
    <row r="91" spans="1:46" ht="15" customHeight="1" x14ac:dyDescent="0.45">
      <c r="A91" s="108"/>
      <c r="C91" s="56" t="s">
        <v>107</v>
      </c>
      <c r="AT91" s="107"/>
    </row>
    <row r="92" spans="1:46" ht="15" customHeight="1" x14ac:dyDescent="0.45">
      <c r="A92" s="108"/>
      <c r="D92" s="56" t="s">
        <v>100</v>
      </c>
      <c r="AT92" s="107"/>
    </row>
    <row r="93" spans="1:46" ht="15" customHeight="1" x14ac:dyDescent="0.45">
      <c r="A93" s="108"/>
      <c r="C93" s="56" t="s">
        <v>108</v>
      </c>
      <c r="AT93" s="107"/>
    </row>
    <row r="94" spans="1:46" ht="15" customHeight="1" x14ac:dyDescent="0.45">
      <c r="A94" s="108"/>
      <c r="C94" s="56" t="s">
        <v>109</v>
      </c>
      <c r="AT94" s="107"/>
    </row>
    <row r="95" spans="1:46" ht="15" customHeight="1" x14ac:dyDescent="0.45">
      <c r="A95" s="108"/>
      <c r="C95" s="56" t="s">
        <v>110</v>
      </c>
      <c r="AT95" s="107"/>
    </row>
    <row r="96" spans="1:46" ht="15" customHeight="1" x14ac:dyDescent="0.45">
      <c r="A96" s="108"/>
      <c r="C96" s="56" t="s">
        <v>111</v>
      </c>
      <c r="AT96" s="107"/>
    </row>
    <row r="97" spans="1:46" ht="15" customHeight="1" x14ac:dyDescent="0.45">
      <c r="A97" s="108"/>
      <c r="D97" s="56" t="s">
        <v>103</v>
      </c>
      <c r="AT97" s="107"/>
    </row>
    <row r="98" spans="1:46" ht="15" customHeight="1" x14ac:dyDescent="0.45">
      <c r="A98" s="108"/>
      <c r="AT98" s="107"/>
    </row>
    <row r="99" spans="1:46" ht="15" customHeight="1" x14ac:dyDescent="0.45">
      <c r="A99" s="108"/>
      <c r="B99" s="70" t="s">
        <v>112</v>
      </c>
      <c r="AT99" s="107"/>
    </row>
    <row r="100" spans="1:46" ht="15" customHeight="1" x14ac:dyDescent="0.45">
      <c r="A100" s="108"/>
      <c r="C100" s="56" t="s">
        <v>113</v>
      </c>
      <c r="AT100" s="107"/>
    </row>
    <row r="101" spans="1:46" ht="15" customHeight="1" x14ac:dyDescent="0.45">
      <c r="A101" s="108"/>
      <c r="C101" s="56" t="s">
        <v>114</v>
      </c>
      <c r="AT101" s="107"/>
    </row>
    <row r="102" spans="1:46" ht="15" customHeight="1" x14ac:dyDescent="0.45">
      <c r="A102" s="108"/>
      <c r="D102" s="56" t="s">
        <v>115</v>
      </c>
      <c r="AT102" s="107"/>
    </row>
    <row r="103" spans="1:46" s="141" customFormat="1" ht="15" customHeight="1" x14ac:dyDescent="0.45">
      <c r="A103" s="140"/>
      <c r="E103" s="141" t="s">
        <v>116</v>
      </c>
      <c r="AT103" s="142"/>
    </row>
    <row r="104" spans="1:46" ht="15" customHeight="1" x14ac:dyDescent="0.45">
      <c r="A104" s="108"/>
      <c r="E104" s="56" t="s">
        <v>117</v>
      </c>
      <c r="AT104" s="107"/>
    </row>
    <row r="105" spans="1:46" ht="15" customHeight="1" x14ac:dyDescent="0.45">
      <c r="A105" s="108"/>
      <c r="AT105" s="107"/>
    </row>
    <row r="106" spans="1:46" ht="15" customHeight="1" x14ac:dyDescent="0.45">
      <c r="A106" s="108"/>
      <c r="D106" s="136" t="s">
        <v>118</v>
      </c>
      <c r="E106" s="56" t="s">
        <v>119</v>
      </c>
      <c r="AT106" s="107"/>
    </row>
    <row r="107" spans="1:46" ht="15" customHeight="1" x14ac:dyDescent="0.45">
      <c r="A107" s="108"/>
      <c r="D107" s="136"/>
      <c r="E107" s="56" t="s">
        <v>120</v>
      </c>
      <c r="AT107" s="107"/>
    </row>
    <row r="108" spans="1:46" ht="15" customHeight="1" x14ac:dyDescent="0.45">
      <c r="A108" s="108"/>
      <c r="D108" s="136"/>
      <c r="E108" s="56" t="s">
        <v>121</v>
      </c>
      <c r="AT108" s="107"/>
    </row>
    <row r="109" spans="1:46" ht="15" customHeight="1" x14ac:dyDescent="0.45">
      <c r="A109" s="108"/>
      <c r="D109" s="136"/>
      <c r="E109" s="56" t="s">
        <v>122</v>
      </c>
      <c r="AT109" s="107"/>
    </row>
    <row r="110" spans="1:46" ht="15" customHeight="1" x14ac:dyDescent="0.45">
      <c r="A110" s="57"/>
      <c r="B110" s="70"/>
      <c r="D110" s="136"/>
      <c r="E110" s="56" t="s">
        <v>123</v>
      </c>
      <c r="M110" s="136"/>
      <c r="AT110" s="192"/>
    </row>
    <row r="111" spans="1:46" ht="15" customHeight="1" x14ac:dyDescent="0.45">
      <c r="A111" s="108"/>
      <c r="E111" s="136" t="s">
        <v>124</v>
      </c>
      <c r="G111" s="56" t="s">
        <v>125</v>
      </c>
      <c r="AT111" s="107"/>
    </row>
    <row r="112" spans="1:46" ht="15" customHeight="1" x14ac:dyDescent="0.45">
      <c r="A112" s="108"/>
      <c r="G112" s="56" t="s">
        <v>126</v>
      </c>
      <c r="AT112" s="107"/>
    </row>
    <row r="113" spans="1:46" ht="15" customHeight="1" x14ac:dyDescent="0.45">
      <c r="A113" s="108"/>
      <c r="G113" s="56" t="s">
        <v>127</v>
      </c>
      <c r="AT113" s="107"/>
    </row>
    <row r="114" spans="1:46" ht="15" customHeight="1" x14ac:dyDescent="0.45">
      <c r="A114" s="108"/>
      <c r="G114" s="56" t="s">
        <v>128</v>
      </c>
      <c r="AT114" s="107"/>
    </row>
    <row r="115" spans="1:46" ht="15" customHeight="1" x14ac:dyDescent="0.45">
      <c r="A115" s="108"/>
      <c r="E115" s="136" t="s">
        <v>129</v>
      </c>
      <c r="G115" s="56" t="s">
        <v>130</v>
      </c>
      <c r="AT115" s="107"/>
    </row>
    <row r="116" spans="1:46" ht="15" customHeight="1" x14ac:dyDescent="0.45">
      <c r="A116" s="108"/>
      <c r="G116" s="56" t="s">
        <v>131</v>
      </c>
      <c r="AT116" s="107"/>
    </row>
    <row r="117" spans="1:46" ht="15" customHeight="1" x14ac:dyDescent="0.45">
      <c r="A117" s="108"/>
      <c r="H117" s="56" t="s">
        <v>132</v>
      </c>
      <c r="AT117" s="107"/>
    </row>
    <row r="118" spans="1:46" ht="15" customHeight="1" x14ac:dyDescent="0.45">
      <c r="A118" s="108"/>
      <c r="H118" s="56" t="s">
        <v>133</v>
      </c>
      <c r="AT118" s="107"/>
    </row>
    <row r="119" spans="1:46" s="141" customFormat="1" ht="15" customHeight="1" x14ac:dyDescent="0.45">
      <c r="A119" s="140"/>
      <c r="G119" s="141" t="s">
        <v>134</v>
      </c>
      <c r="AT119" s="142"/>
    </row>
    <row r="120" spans="1:46" ht="15" customHeight="1" x14ac:dyDescent="0.45">
      <c r="A120" s="108"/>
      <c r="E120" s="136" t="s">
        <v>135</v>
      </c>
      <c r="G120" s="56" t="s">
        <v>136</v>
      </c>
      <c r="AT120" s="107"/>
    </row>
    <row r="121" spans="1:46" ht="15" customHeight="1" x14ac:dyDescent="0.45">
      <c r="A121" s="108"/>
      <c r="G121" s="56" t="s">
        <v>137</v>
      </c>
      <c r="AT121" s="107"/>
    </row>
    <row r="122" spans="1:46" ht="15" customHeight="1" x14ac:dyDescent="0.45">
      <c r="A122" s="108"/>
      <c r="H122" s="162" t="s">
        <v>138</v>
      </c>
      <c r="AT122" s="107"/>
    </row>
    <row r="123" spans="1:46" ht="15" customHeight="1" x14ac:dyDescent="0.45">
      <c r="A123" s="108"/>
      <c r="H123" s="162" t="s">
        <v>139</v>
      </c>
      <c r="AT123" s="107"/>
    </row>
    <row r="124" spans="1:46" ht="15" customHeight="1" x14ac:dyDescent="0.45">
      <c r="A124" s="108"/>
      <c r="H124" s="162" t="s">
        <v>140</v>
      </c>
      <c r="AT124" s="107"/>
    </row>
    <row r="125" spans="1:46" ht="15" customHeight="1" x14ac:dyDescent="0.45">
      <c r="A125" s="108"/>
      <c r="H125" s="162" t="s">
        <v>141</v>
      </c>
      <c r="AT125" s="107"/>
    </row>
    <row r="126" spans="1:46" ht="15" customHeight="1" x14ac:dyDescent="0.45">
      <c r="A126" s="108"/>
      <c r="H126" s="162" t="s">
        <v>142</v>
      </c>
      <c r="AT126" s="107"/>
    </row>
    <row r="127" spans="1:46" ht="15" customHeight="1" x14ac:dyDescent="0.45">
      <c r="A127" s="108"/>
      <c r="H127" s="162" t="s">
        <v>143</v>
      </c>
      <c r="AT127" s="107"/>
    </row>
    <row r="128" spans="1:46" ht="15" customHeight="1" x14ac:dyDescent="0.45">
      <c r="A128" s="108"/>
      <c r="E128" s="163" t="s">
        <v>144</v>
      </c>
      <c r="G128" s="56" t="s">
        <v>145</v>
      </c>
      <c r="H128" s="162"/>
      <c r="AT128" s="107"/>
    </row>
    <row r="129" spans="1:46" ht="15" customHeight="1" x14ac:dyDescent="0.45">
      <c r="A129" s="108"/>
      <c r="G129" s="56" t="s">
        <v>146</v>
      </c>
      <c r="H129" s="162"/>
      <c r="AT129" s="107"/>
    </row>
    <row r="130" spans="1:46" ht="15" customHeight="1" x14ac:dyDescent="0.45">
      <c r="A130" s="108"/>
      <c r="G130" s="164" t="s">
        <v>147</v>
      </c>
      <c r="H130" s="162"/>
      <c r="AT130" s="107"/>
    </row>
    <row r="131" spans="1:46" ht="15" customHeight="1" x14ac:dyDescent="0.45">
      <c r="A131" s="108"/>
      <c r="G131" s="164" t="s">
        <v>148</v>
      </c>
      <c r="H131" s="162"/>
      <c r="AT131" s="107"/>
    </row>
    <row r="132" spans="1:46" ht="15" customHeight="1" x14ac:dyDescent="0.45">
      <c r="A132" s="108"/>
      <c r="E132" s="136" t="s">
        <v>149</v>
      </c>
      <c r="G132" s="56" t="s">
        <v>150</v>
      </c>
      <c r="AT132" s="107"/>
    </row>
    <row r="133" spans="1:46" ht="15" customHeight="1" x14ac:dyDescent="0.45">
      <c r="A133" s="108"/>
      <c r="G133" s="56" t="s">
        <v>151</v>
      </c>
      <c r="AT133" s="107"/>
    </row>
    <row r="134" spans="1:46" ht="15" customHeight="1" x14ac:dyDescent="0.45">
      <c r="A134" s="108"/>
      <c r="H134" s="56" t="s">
        <v>152</v>
      </c>
      <c r="AT134" s="107"/>
    </row>
    <row r="135" spans="1:46" ht="15" customHeight="1" x14ac:dyDescent="0.45">
      <c r="A135" s="108"/>
      <c r="H135" s="165" t="s">
        <v>153</v>
      </c>
      <c r="I135" s="166"/>
      <c r="J135" s="167"/>
      <c r="K135" s="166" t="s">
        <v>154</v>
      </c>
      <c r="L135" s="166"/>
      <c r="M135" s="166"/>
      <c r="N135" s="166"/>
      <c r="O135" s="168"/>
      <c r="V135" s="169" t="s">
        <v>153</v>
      </c>
      <c r="W135" s="170"/>
      <c r="X135" s="170"/>
      <c r="Y135" s="171"/>
      <c r="AT135" s="107"/>
    </row>
    <row r="136" spans="1:46" ht="15" customHeight="1" x14ac:dyDescent="0.45">
      <c r="A136" s="108"/>
      <c r="H136" s="172" t="s">
        <v>155</v>
      </c>
      <c r="I136" s="138"/>
      <c r="J136" s="173"/>
      <c r="K136" s="138">
        <v>10</v>
      </c>
      <c r="L136" s="138"/>
      <c r="M136" s="138"/>
      <c r="N136" s="138"/>
      <c r="O136" s="139"/>
      <c r="V136" s="172" t="s">
        <v>156</v>
      </c>
      <c r="W136" s="138"/>
      <c r="X136" s="173"/>
      <c r="Y136" s="139"/>
      <c r="AT136" s="107"/>
    </row>
    <row r="137" spans="1:46" ht="15" customHeight="1" x14ac:dyDescent="0.45">
      <c r="A137" s="108"/>
      <c r="E137" s="163" t="s">
        <v>157</v>
      </c>
      <c r="G137" s="56" t="s">
        <v>158</v>
      </c>
      <c r="AT137" s="107"/>
    </row>
    <row r="138" spans="1:46" ht="15" customHeight="1" x14ac:dyDescent="0.45">
      <c r="A138" s="108"/>
      <c r="G138" s="56" t="s">
        <v>159</v>
      </c>
      <c r="AT138" s="107"/>
    </row>
    <row r="139" spans="1:46" ht="15" customHeight="1" x14ac:dyDescent="0.45">
      <c r="A139" s="108"/>
      <c r="AT139" s="107"/>
    </row>
    <row r="140" spans="1:46" ht="15" customHeight="1" x14ac:dyDescent="0.45">
      <c r="A140" s="108"/>
      <c r="C140" s="56" t="s">
        <v>160</v>
      </c>
      <c r="AT140" s="107"/>
    </row>
    <row r="141" spans="1:46" ht="15" customHeight="1" x14ac:dyDescent="0.45">
      <c r="A141" s="108"/>
      <c r="C141" s="56" t="s">
        <v>161</v>
      </c>
      <c r="AT141" s="107"/>
    </row>
    <row r="142" spans="1:46" ht="15" customHeight="1" x14ac:dyDescent="0.45">
      <c r="A142" s="108"/>
      <c r="D142" s="56" t="s">
        <v>162</v>
      </c>
      <c r="AT142" s="107"/>
    </row>
    <row r="143" spans="1:46" ht="15" customHeight="1" x14ac:dyDescent="0.45">
      <c r="A143" s="108"/>
      <c r="D143" s="56" t="s">
        <v>163</v>
      </c>
      <c r="AT143" s="107"/>
    </row>
    <row r="144" spans="1:46" ht="15" customHeight="1" x14ac:dyDescent="0.45">
      <c r="A144" s="108"/>
      <c r="D144" s="56" t="s">
        <v>164</v>
      </c>
      <c r="AT144" s="107"/>
    </row>
    <row r="145" spans="1:46" ht="15" customHeight="1" x14ac:dyDescent="0.45">
      <c r="A145" s="108"/>
      <c r="D145" s="56" t="s">
        <v>165</v>
      </c>
      <c r="AT145" s="107"/>
    </row>
    <row r="146" spans="1:46" ht="15" customHeight="1" x14ac:dyDescent="0.45">
      <c r="A146" s="108"/>
      <c r="D146" s="56" t="s">
        <v>166</v>
      </c>
      <c r="AT146" s="107"/>
    </row>
    <row r="147" spans="1:46" ht="15" customHeight="1" x14ac:dyDescent="0.45">
      <c r="A147" s="108"/>
      <c r="E147" s="56" t="s">
        <v>167</v>
      </c>
      <c r="N147" s="56" t="s">
        <v>168</v>
      </c>
      <c r="AT147" s="107"/>
    </row>
    <row r="148" spans="1:46" ht="15" customHeight="1" x14ac:dyDescent="0.45">
      <c r="A148" s="108"/>
      <c r="E148" s="56" t="s">
        <v>169</v>
      </c>
      <c r="N148" s="56" t="s">
        <v>170</v>
      </c>
      <c r="AT148" s="107"/>
    </row>
    <row r="149" spans="1:46" ht="15" customHeight="1" x14ac:dyDescent="0.45">
      <c r="A149" s="108"/>
      <c r="E149" s="56" t="s">
        <v>171</v>
      </c>
      <c r="N149" s="56" t="s">
        <v>172</v>
      </c>
      <c r="AT149" s="107"/>
    </row>
    <row r="150" spans="1:46" ht="15" customHeight="1" x14ac:dyDescent="0.45">
      <c r="A150" s="108"/>
      <c r="E150" s="56" t="s">
        <v>173</v>
      </c>
      <c r="N150" s="56" t="s">
        <v>174</v>
      </c>
      <c r="AT150" s="107"/>
    </row>
    <row r="151" spans="1:46" ht="15" customHeight="1" x14ac:dyDescent="0.45">
      <c r="A151" s="108"/>
      <c r="AT151" s="107"/>
    </row>
    <row r="152" spans="1:46" ht="15" customHeight="1" x14ac:dyDescent="0.45">
      <c r="A152" s="108"/>
      <c r="B152" s="70" t="s">
        <v>175</v>
      </c>
      <c r="AT152" s="107"/>
    </row>
    <row r="153" spans="1:46" ht="15" customHeight="1" x14ac:dyDescent="0.45">
      <c r="A153" s="108"/>
      <c r="B153" s="70"/>
      <c r="AT153" s="107"/>
    </row>
    <row r="154" spans="1:46" ht="15" customHeight="1" x14ac:dyDescent="0.45">
      <c r="A154" s="108"/>
      <c r="B154" s="70"/>
      <c r="AT154" s="107"/>
    </row>
    <row r="155" spans="1:46" ht="15" customHeight="1" x14ac:dyDescent="0.45">
      <c r="A155" s="108"/>
      <c r="B155" s="70"/>
      <c r="AT155" s="107"/>
    </row>
    <row r="156" spans="1:46" ht="15" customHeight="1" x14ac:dyDescent="0.45">
      <c r="A156" s="108"/>
      <c r="B156" s="70" t="s">
        <v>176</v>
      </c>
      <c r="AT156" s="107"/>
    </row>
    <row r="157" spans="1:46" ht="15" customHeight="1" x14ac:dyDescent="0.45">
      <c r="A157" s="108"/>
      <c r="B157" s="70"/>
      <c r="C157" s="56" t="s">
        <v>177</v>
      </c>
      <c r="AT157" s="107"/>
    </row>
    <row r="158" spans="1:46" ht="15" customHeight="1" x14ac:dyDescent="0.45">
      <c r="A158" s="108"/>
      <c r="C158" s="56" t="s">
        <v>178</v>
      </c>
      <c r="AT158" s="107"/>
    </row>
    <row r="159" spans="1:46" ht="15" customHeight="1" x14ac:dyDescent="0.45">
      <c r="A159" s="137"/>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9"/>
    </row>
    <row r="160" spans="1:46" ht="15" customHeight="1" x14ac:dyDescent="0.45">
      <c r="A160" s="333" t="s">
        <v>179</v>
      </c>
      <c r="B160" s="334"/>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c r="Z160" s="334"/>
      <c r="AA160" s="334"/>
      <c r="AB160" s="334"/>
      <c r="AC160" s="334"/>
      <c r="AD160" s="334"/>
      <c r="AE160" s="334"/>
      <c r="AF160" s="334"/>
      <c r="AG160" s="334"/>
      <c r="AH160" s="334"/>
      <c r="AI160" s="334"/>
      <c r="AJ160" s="334"/>
      <c r="AK160" s="334"/>
      <c r="AL160" s="334"/>
      <c r="AM160" s="334"/>
      <c r="AN160" s="334"/>
      <c r="AO160" s="334"/>
      <c r="AP160" s="334"/>
      <c r="AQ160" s="334"/>
      <c r="AR160" s="334"/>
      <c r="AS160" s="334"/>
      <c r="AT160" s="335"/>
    </row>
    <row r="161" spans="1:46" ht="15" customHeight="1" x14ac:dyDescent="0.45">
      <c r="A161" s="328" t="s">
        <v>180</v>
      </c>
      <c r="B161" s="329"/>
      <c r="C161" s="329"/>
      <c r="D161" s="329"/>
      <c r="E161" s="329"/>
      <c r="F161" s="329"/>
      <c r="G161" s="329"/>
      <c r="H161" s="329"/>
      <c r="I161" s="329"/>
      <c r="J161" s="329"/>
      <c r="K161" s="329"/>
      <c r="L161" s="329"/>
      <c r="M161" s="329"/>
      <c r="N161" s="329"/>
      <c r="O161" s="329"/>
      <c r="P161" s="329"/>
      <c r="Q161" s="329"/>
      <c r="R161" s="329"/>
      <c r="S161" s="329"/>
      <c r="T161" s="329"/>
      <c r="U161" s="329"/>
      <c r="V161" s="329"/>
      <c r="W161" s="329"/>
      <c r="X161" s="329"/>
      <c r="Y161" s="329"/>
      <c r="Z161" s="329"/>
      <c r="AA161" s="329"/>
      <c r="AB161" s="329"/>
      <c r="AC161" s="329"/>
      <c r="AD161" s="329"/>
      <c r="AE161" s="329"/>
      <c r="AF161" s="329"/>
      <c r="AG161" s="329"/>
      <c r="AH161" s="329"/>
      <c r="AI161" s="329"/>
      <c r="AJ161" s="329"/>
      <c r="AK161" s="329"/>
      <c r="AL161" s="329"/>
      <c r="AM161" s="329"/>
      <c r="AN161" s="329"/>
      <c r="AO161" s="329"/>
      <c r="AP161" s="329"/>
      <c r="AQ161" s="329"/>
      <c r="AR161" s="329"/>
      <c r="AS161" s="329"/>
      <c r="AT161" s="330"/>
    </row>
    <row r="162" spans="1:46" ht="15" customHeight="1" x14ac:dyDescent="0.45">
      <c r="A162" s="322" t="s">
        <v>181</v>
      </c>
      <c r="B162" s="323"/>
      <c r="C162" s="323"/>
      <c r="D162" s="323"/>
      <c r="E162" s="324"/>
      <c r="F162" s="325"/>
      <c r="G162" s="326"/>
      <c r="H162" s="326"/>
      <c r="I162" s="326"/>
      <c r="J162" s="326"/>
      <c r="K162" s="326"/>
      <c r="L162" s="326"/>
      <c r="M162" s="326"/>
      <c r="N162" s="326"/>
      <c r="O162" s="326"/>
      <c r="P162" s="326"/>
      <c r="Q162" s="326"/>
      <c r="R162" s="326"/>
      <c r="S162" s="326"/>
      <c r="T162" s="326"/>
      <c r="U162" s="326"/>
      <c r="V162" s="326"/>
      <c r="W162" s="326"/>
      <c r="X162" s="326"/>
      <c r="Y162" s="326"/>
      <c r="Z162" s="326"/>
      <c r="AA162" s="326"/>
      <c r="AB162" s="326"/>
      <c r="AC162" s="326"/>
      <c r="AD162" s="326"/>
      <c r="AE162" s="326"/>
      <c r="AF162" s="326"/>
      <c r="AG162" s="326"/>
      <c r="AH162" s="326"/>
      <c r="AI162" s="326"/>
      <c r="AJ162" s="326"/>
      <c r="AK162" s="326"/>
      <c r="AL162" s="326"/>
      <c r="AM162" s="326"/>
      <c r="AN162" s="326"/>
      <c r="AO162" s="326"/>
      <c r="AP162" s="326"/>
      <c r="AQ162" s="326"/>
      <c r="AR162" s="326"/>
      <c r="AS162" s="326"/>
      <c r="AT162" s="327"/>
    </row>
    <row r="163" spans="1:46" ht="15" customHeight="1" x14ac:dyDescent="0.45">
      <c r="A163" s="322" t="s">
        <v>182</v>
      </c>
      <c r="B163" s="323"/>
      <c r="C163" s="323"/>
      <c r="D163" s="323"/>
      <c r="E163" s="324"/>
      <c r="F163" s="325"/>
      <c r="G163" s="326"/>
      <c r="H163" s="326"/>
      <c r="I163" s="326"/>
      <c r="J163" s="326"/>
      <c r="K163" s="326"/>
      <c r="L163" s="326"/>
      <c r="M163" s="326"/>
      <c r="N163" s="326"/>
      <c r="O163" s="326"/>
      <c r="P163" s="326"/>
      <c r="Q163" s="326"/>
      <c r="R163" s="326"/>
      <c r="S163" s="326"/>
      <c r="T163" s="326"/>
      <c r="U163" s="326"/>
      <c r="V163" s="326"/>
      <c r="W163" s="326"/>
      <c r="X163" s="326"/>
      <c r="Y163" s="326"/>
      <c r="Z163" s="326"/>
      <c r="AA163" s="326"/>
      <c r="AB163" s="326"/>
      <c r="AC163" s="326"/>
      <c r="AD163" s="326"/>
      <c r="AE163" s="326"/>
      <c r="AF163" s="326"/>
      <c r="AG163" s="326"/>
      <c r="AH163" s="326"/>
      <c r="AI163" s="326"/>
      <c r="AJ163" s="326"/>
      <c r="AK163" s="326"/>
      <c r="AL163" s="326"/>
      <c r="AM163" s="326"/>
      <c r="AN163" s="326"/>
      <c r="AO163" s="326"/>
      <c r="AP163" s="326"/>
      <c r="AQ163" s="326"/>
      <c r="AR163" s="326"/>
      <c r="AS163" s="326"/>
      <c r="AT163" s="327"/>
    </row>
    <row r="164" spans="1:46" ht="15" customHeight="1" x14ac:dyDescent="0.45">
      <c r="A164" s="328" t="s">
        <v>183</v>
      </c>
      <c r="B164" s="329"/>
      <c r="C164" s="329"/>
      <c r="D164" s="329"/>
      <c r="E164" s="329"/>
      <c r="F164" s="329"/>
      <c r="G164" s="329"/>
      <c r="H164" s="329"/>
      <c r="I164" s="329"/>
      <c r="J164" s="329"/>
      <c r="K164" s="329"/>
      <c r="L164" s="329"/>
      <c r="M164" s="329"/>
      <c r="N164" s="329"/>
      <c r="O164" s="329"/>
      <c r="P164" s="329"/>
      <c r="Q164" s="329"/>
      <c r="R164" s="329"/>
      <c r="S164" s="329"/>
      <c r="T164" s="329"/>
      <c r="U164" s="329"/>
      <c r="V164" s="329"/>
      <c r="W164" s="329"/>
      <c r="X164" s="329"/>
      <c r="Y164" s="329"/>
      <c r="Z164" s="329"/>
      <c r="AA164" s="329"/>
      <c r="AB164" s="329"/>
      <c r="AC164" s="329"/>
      <c r="AD164" s="329"/>
      <c r="AE164" s="329"/>
      <c r="AF164" s="329"/>
      <c r="AG164" s="329"/>
      <c r="AH164" s="329"/>
      <c r="AI164" s="329"/>
      <c r="AJ164" s="329"/>
      <c r="AK164" s="329"/>
      <c r="AL164" s="329"/>
      <c r="AM164" s="329"/>
      <c r="AN164" s="329"/>
      <c r="AO164" s="329"/>
      <c r="AP164" s="329"/>
      <c r="AQ164" s="329"/>
      <c r="AR164" s="329"/>
      <c r="AS164" s="329"/>
      <c r="AT164" s="330"/>
    </row>
    <row r="165" spans="1:46" ht="15" customHeight="1" x14ac:dyDescent="0.45">
      <c r="A165" s="322" t="s">
        <v>184</v>
      </c>
      <c r="B165" s="331"/>
      <c r="C165" s="331"/>
      <c r="D165" s="331"/>
      <c r="E165" s="332"/>
      <c r="F165" s="325" t="s">
        <v>185</v>
      </c>
      <c r="G165" s="326"/>
      <c r="H165" s="326"/>
      <c r="I165" s="326"/>
      <c r="J165" s="326"/>
      <c r="K165" s="326"/>
      <c r="L165" s="326"/>
      <c r="M165" s="326"/>
      <c r="N165" s="326"/>
      <c r="O165" s="326"/>
      <c r="P165" s="326"/>
      <c r="Q165" s="326"/>
      <c r="R165" s="326"/>
      <c r="S165" s="326"/>
      <c r="T165" s="326"/>
      <c r="U165" s="326"/>
      <c r="V165" s="326"/>
      <c r="W165" s="326"/>
      <c r="X165" s="326"/>
      <c r="Y165" s="326"/>
      <c r="Z165" s="326"/>
      <c r="AA165" s="326"/>
      <c r="AB165" s="326"/>
      <c r="AC165" s="326"/>
      <c r="AD165" s="326"/>
      <c r="AE165" s="326"/>
      <c r="AF165" s="326"/>
      <c r="AG165" s="326"/>
      <c r="AH165" s="326"/>
      <c r="AI165" s="326"/>
      <c r="AJ165" s="326"/>
      <c r="AK165" s="326"/>
      <c r="AL165" s="326"/>
      <c r="AM165" s="326"/>
      <c r="AN165" s="326"/>
      <c r="AO165" s="326"/>
      <c r="AP165" s="326"/>
      <c r="AQ165" s="326"/>
      <c r="AR165" s="326"/>
      <c r="AS165" s="326"/>
      <c r="AT165" s="327"/>
    </row>
  </sheetData>
  <mergeCells count="33">
    <mergeCell ref="A5:E5"/>
    <mergeCell ref="F5:V5"/>
    <mergeCell ref="W5:AA5"/>
    <mergeCell ref="AB5:AT5"/>
    <mergeCell ref="A1:AT1"/>
    <mergeCell ref="A2:E2"/>
    <mergeCell ref="F2:V2"/>
    <mergeCell ref="W2:AA2"/>
    <mergeCell ref="AB2:AT2"/>
    <mergeCell ref="A3:E3"/>
    <mergeCell ref="F3:AT3"/>
    <mergeCell ref="A4:E4"/>
    <mergeCell ref="F4:AT4"/>
    <mergeCell ref="A6:E6"/>
    <mergeCell ref="W6:AA6"/>
    <mergeCell ref="AB6:AT6"/>
    <mergeCell ref="F7:K7"/>
    <mergeCell ref="Q7:V7"/>
    <mergeCell ref="W7:AA7"/>
    <mergeCell ref="AB7:AH7"/>
    <mergeCell ref="AI7:AM7"/>
    <mergeCell ref="AN7:AT7"/>
    <mergeCell ref="A160:AT160"/>
    <mergeCell ref="A161:AT161"/>
    <mergeCell ref="A162:E162"/>
    <mergeCell ref="F162:AT162"/>
    <mergeCell ref="A8:E8"/>
    <mergeCell ref="A30:E30"/>
    <mergeCell ref="A163:E163"/>
    <mergeCell ref="F163:AT163"/>
    <mergeCell ref="A164:AT164"/>
    <mergeCell ref="A165:E165"/>
    <mergeCell ref="F165:AT165"/>
  </mergeCells>
  <phoneticPr fontId="10"/>
  <pageMargins left="0.7" right="0.7" top="0.75" bottom="0.75" header="0.3" footer="0.3"/>
  <pageSetup paperSize="9" orientation="landscape"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1842E-48D2-4D5A-96B8-6CCDE76485F0}">
  <sheetPr codeName="Sheet4">
    <tabColor rgb="FFFFC000"/>
  </sheetPr>
  <dimension ref="A1:CC56"/>
  <sheetViews>
    <sheetView zoomScale="80" zoomScaleNormal="80" workbookViewId="0">
      <selection sqref="A1:K1"/>
    </sheetView>
  </sheetViews>
  <sheetFormatPr defaultColWidth="9.08984375" defaultRowHeight="15" outlineLevelCol="1" x14ac:dyDescent="0.45"/>
  <cols>
    <col min="1" max="1" width="4.26953125" style="205" customWidth="1"/>
    <col min="2" max="2" width="9" style="205" customWidth="1"/>
    <col min="3" max="3" width="6.6328125" style="205" customWidth="1"/>
    <col min="4" max="4" width="20.81640625" style="205" customWidth="1"/>
    <col min="5" max="5" width="14.90625" style="205" customWidth="1"/>
    <col min="6" max="6" width="3.6328125" style="205" customWidth="1"/>
    <col min="7" max="7" width="4.26953125" style="205" customWidth="1"/>
    <col min="8" max="8" width="3.453125" style="205" customWidth="1"/>
    <col min="9" max="9" width="3.36328125" style="205" customWidth="1"/>
    <col min="10" max="10" width="39.26953125" style="205" customWidth="1" outlineLevel="1"/>
    <col min="11" max="11" width="25.7265625" style="205" customWidth="1" outlineLevel="1"/>
    <col min="12" max="12" width="5.6328125" style="205" bestFit="1" customWidth="1"/>
    <col min="13" max="13" width="11.36328125" style="205" bestFit="1" customWidth="1"/>
    <col min="14" max="14" width="4.36328125" style="205" customWidth="1"/>
    <col min="15" max="15" width="25.36328125" style="205" bestFit="1" customWidth="1"/>
    <col min="16" max="16" width="4.7265625" style="254" customWidth="1" outlineLevel="1"/>
    <col min="17" max="17" width="9.08984375" style="254" customWidth="1" outlineLevel="1"/>
    <col min="18" max="18" width="5.6328125" style="254" customWidth="1" outlineLevel="1"/>
    <col min="19" max="19" width="4.08984375" style="254" customWidth="1" outlineLevel="1"/>
    <col min="20" max="20" width="14.08984375" style="205" customWidth="1" outlineLevel="1"/>
    <col min="21" max="21" width="12.7265625" style="205" customWidth="1" outlineLevel="1"/>
    <col min="22" max="22" width="2.90625" style="205" customWidth="1"/>
    <col min="23" max="23" width="22.453125" style="205" bestFit="1" customWidth="1"/>
    <col min="24" max="24" width="42.453125" style="205" bestFit="1" customWidth="1"/>
    <col min="25" max="25" width="43.26953125" style="261" customWidth="1"/>
    <col min="26" max="16384" width="9.08984375" style="205"/>
  </cols>
  <sheetData>
    <row r="1" spans="1:81" ht="16.2" x14ac:dyDescent="0.45">
      <c r="A1" s="365" t="s">
        <v>186</v>
      </c>
      <c r="B1" s="366"/>
      <c r="C1" s="366"/>
      <c r="D1" s="366"/>
      <c r="E1" s="366"/>
      <c r="F1" s="366"/>
      <c r="G1" s="366"/>
      <c r="H1" s="366"/>
      <c r="I1" s="366"/>
      <c r="J1" s="367"/>
      <c r="K1" s="368"/>
      <c r="L1" s="369" t="s">
        <v>187</v>
      </c>
      <c r="M1" s="370"/>
      <c r="N1" s="370"/>
      <c r="O1" s="370"/>
      <c r="P1" s="370"/>
      <c r="Q1" s="370"/>
      <c r="R1" s="370"/>
      <c r="S1" s="370"/>
      <c r="T1" s="367"/>
      <c r="U1" s="368"/>
      <c r="V1" s="371" t="s">
        <v>188</v>
      </c>
      <c r="W1" s="372"/>
      <c r="X1" s="373" t="s">
        <v>189</v>
      </c>
      <c r="Y1" s="376" t="s">
        <v>190</v>
      </c>
    </row>
    <row r="2" spans="1:81" s="208" customFormat="1" ht="15.9" customHeight="1" x14ac:dyDescent="0.45">
      <c r="A2" s="378" t="s">
        <v>191</v>
      </c>
      <c r="B2" s="380" t="s">
        <v>192</v>
      </c>
      <c r="C2" s="206"/>
      <c r="D2" s="380" t="s">
        <v>193</v>
      </c>
      <c r="E2" s="378" t="s">
        <v>658</v>
      </c>
      <c r="F2" s="381" t="s">
        <v>194</v>
      </c>
      <c r="G2" s="382"/>
      <c r="H2" s="382"/>
      <c r="I2" s="382"/>
      <c r="J2" s="382" t="s">
        <v>195</v>
      </c>
      <c r="K2" s="385"/>
      <c r="L2" s="362" t="s">
        <v>191</v>
      </c>
      <c r="M2" s="360" t="s">
        <v>192</v>
      </c>
      <c r="N2" s="360" t="s">
        <v>196</v>
      </c>
      <c r="O2" s="362" t="s">
        <v>658</v>
      </c>
      <c r="P2" s="363" t="s">
        <v>194</v>
      </c>
      <c r="Q2" s="364"/>
      <c r="R2" s="364"/>
      <c r="S2" s="364"/>
      <c r="T2" s="383" t="s">
        <v>195</v>
      </c>
      <c r="U2" s="383"/>
      <c r="V2" s="384" t="s">
        <v>197</v>
      </c>
      <c r="W2" s="384" t="s">
        <v>198</v>
      </c>
      <c r="X2" s="374"/>
      <c r="Y2" s="377"/>
      <c r="Z2" s="207"/>
      <c r="AA2" s="207"/>
      <c r="AB2" s="207"/>
      <c r="AC2" s="207"/>
      <c r="AD2" s="207"/>
      <c r="AE2" s="207"/>
      <c r="AF2" s="207"/>
      <c r="AG2" s="207"/>
      <c r="AH2" s="207"/>
      <c r="AI2" s="207"/>
      <c r="AJ2" s="207"/>
      <c r="AK2" s="207"/>
      <c r="AL2" s="207"/>
      <c r="AM2" s="207"/>
      <c r="AN2" s="207"/>
      <c r="AO2" s="207"/>
      <c r="AP2" s="207"/>
      <c r="AQ2" s="207"/>
      <c r="AR2" s="207"/>
      <c r="AS2" s="207"/>
      <c r="AT2" s="207"/>
      <c r="AU2" s="207"/>
      <c r="AV2" s="207"/>
      <c r="AW2" s="207"/>
      <c r="AX2" s="207"/>
      <c r="AY2" s="207"/>
      <c r="AZ2" s="207"/>
      <c r="BA2" s="207"/>
      <c r="BB2" s="207"/>
      <c r="BC2" s="207"/>
      <c r="BD2" s="207"/>
      <c r="BE2" s="207"/>
      <c r="BF2" s="207"/>
      <c r="BG2" s="207"/>
      <c r="BH2" s="207"/>
      <c r="BI2" s="207"/>
      <c r="BJ2" s="207"/>
      <c r="BK2" s="207"/>
      <c r="BL2" s="207"/>
      <c r="BM2" s="207"/>
      <c r="BN2" s="207"/>
      <c r="BO2" s="207"/>
      <c r="BP2" s="207"/>
      <c r="BQ2" s="207"/>
      <c r="BR2" s="207"/>
      <c r="BS2" s="207"/>
      <c r="BT2" s="207"/>
      <c r="BU2" s="207"/>
      <c r="BV2" s="207"/>
      <c r="BW2" s="207"/>
      <c r="BX2" s="207"/>
      <c r="BY2" s="207"/>
      <c r="BZ2" s="207"/>
      <c r="CA2" s="207"/>
    </row>
    <row r="3" spans="1:81" s="208" customFormat="1" ht="16.2" x14ac:dyDescent="0.45">
      <c r="A3" s="379"/>
      <c r="B3" s="379"/>
      <c r="C3" s="200"/>
      <c r="D3" s="379"/>
      <c r="E3" s="379"/>
      <c r="F3" s="73" t="s">
        <v>199</v>
      </c>
      <c r="G3" s="73" t="s">
        <v>200</v>
      </c>
      <c r="H3" s="209" t="s">
        <v>659</v>
      </c>
      <c r="I3" s="209" t="s">
        <v>660</v>
      </c>
      <c r="J3" s="209" t="s">
        <v>201</v>
      </c>
      <c r="K3" s="209" t="s">
        <v>202</v>
      </c>
      <c r="L3" s="361"/>
      <c r="M3" s="361"/>
      <c r="N3" s="361"/>
      <c r="O3" s="361"/>
      <c r="P3" s="143" t="s">
        <v>199</v>
      </c>
      <c r="Q3" s="143" t="s">
        <v>200</v>
      </c>
      <c r="R3" s="210" t="s">
        <v>659</v>
      </c>
      <c r="S3" s="210" t="s">
        <v>660</v>
      </c>
      <c r="T3" s="211" t="s">
        <v>201</v>
      </c>
      <c r="U3" s="211" t="s">
        <v>202</v>
      </c>
      <c r="V3" s="384"/>
      <c r="W3" s="384"/>
      <c r="X3" s="375"/>
      <c r="Y3" s="37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7"/>
      <c r="BP3" s="207"/>
      <c r="BQ3" s="207"/>
      <c r="BR3" s="207"/>
      <c r="BS3" s="207"/>
      <c r="BT3" s="207"/>
      <c r="BU3" s="207"/>
      <c r="BV3" s="207"/>
      <c r="BW3" s="207"/>
      <c r="BX3" s="207"/>
      <c r="BY3" s="207"/>
      <c r="BZ3" s="207"/>
      <c r="CA3" s="207"/>
    </row>
    <row r="4" spans="1:81" s="218" customFormat="1" ht="16.2" x14ac:dyDescent="0.45">
      <c r="A4" s="212">
        <f>ROW()-3</f>
        <v>1</v>
      </c>
      <c r="B4" s="152" t="s">
        <v>153</v>
      </c>
      <c r="C4" s="152" t="s">
        <v>203</v>
      </c>
      <c r="D4" s="153" t="s">
        <v>204</v>
      </c>
      <c r="E4" s="153" t="s">
        <v>97</v>
      </c>
      <c r="F4" s="154"/>
      <c r="G4" s="153" t="s">
        <v>205</v>
      </c>
      <c r="H4" s="153">
        <v>4</v>
      </c>
      <c r="I4" s="155"/>
      <c r="J4" s="182" t="s">
        <v>206</v>
      </c>
      <c r="K4" s="182" t="s">
        <v>207</v>
      </c>
      <c r="L4" s="212">
        <v>1</v>
      </c>
      <c r="M4" s="212" t="s">
        <v>16</v>
      </c>
      <c r="N4" s="156"/>
      <c r="O4" s="213" t="s">
        <v>208</v>
      </c>
      <c r="P4" s="156"/>
      <c r="Q4" s="72" t="s">
        <v>205</v>
      </c>
      <c r="R4" s="157"/>
      <c r="S4" s="157"/>
      <c r="T4" s="212" t="s">
        <v>209</v>
      </c>
      <c r="U4" s="212" t="s">
        <v>209</v>
      </c>
      <c r="V4" s="214"/>
      <c r="W4" s="215" t="s">
        <v>210</v>
      </c>
      <c r="X4" s="216"/>
      <c r="Y4" s="217"/>
    </row>
    <row r="5" spans="1:81" s="208" customFormat="1" ht="16.2" x14ac:dyDescent="0.45">
      <c r="A5" s="219">
        <f t="shared" ref="A5:A36" si="0">ROW()-3</f>
        <v>2</v>
      </c>
      <c r="B5" s="219" t="s">
        <v>153</v>
      </c>
      <c r="C5" s="219" t="s">
        <v>211</v>
      </c>
      <c r="D5" s="220" t="s">
        <v>212</v>
      </c>
      <c r="E5" s="220" t="s">
        <v>213</v>
      </c>
      <c r="F5" s="220"/>
      <c r="G5" s="72" t="s">
        <v>205</v>
      </c>
      <c r="H5" s="220">
        <v>10</v>
      </c>
      <c r="I5" s="221"/>
      <c r="J5" s="183" t="s">
        <v>214</v>
      </c>
      <c r="K5" s="184" t="s">
        <v>215</v>
      </c>
      <c r="L5" s="219">
        <v>2</v>
      </c>
      <c r="M5" s="219" t="s">
        <v>16</v>
      </c>
      <c r="N5" s="144"/>
      <c r="O5" s="220" t="s">
        <v>216</v>
      </c>
      <c r="P5" s="110"/>
      <c r="Q5" s="110" t="s">
        <v>205</v>
      </c>
      <c r="R5" s="111"/>
      <c r="S5" s="111"/>
      <c r="T5" s="219" t="s">
        <v>209</v>
      </c>
      <c r="U5" s="219" t="s">
        <v>209</v>
      </c>
      <c r="V5" s="222" t="s">
        <v>217</v>
      </c>
      <c r="W5" s="223" t="s">
        <v>218</v>
      </c>
      <c r="X5" s="224" t="s">
        <v>219</v>
      </c>
      <c r="Y5" s="225"/>
      <c r="Z5" s="205"/>
      <c r="AA5" s="205"/>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C5" s="205"/>
    </row>
    <row r="6" spans="1:81" s="208" customFormat="1" ht="16.2" x14ac:dyDescent="0.45">
      <c r="A6" s="219">
        <f t="shared" si="0"/>
        <v>3</v>
      </c>
      <c r="B6" s="219" t="s">
        <v>153</v>
      </c>
      <c r="C6" s="219" t="s">
        <v>211</v>
      </c>
      <c r="D6" s="220" t="s">
        <v>212</v>
      </c>
      <c r="E6" s="220" t="s">
        <v>220</v>
      </c>
      <c r="F6" s="220"/>
      <c r="G6" s="72" t="s">
        <v>205</v>
      </c>
      <c r="H6" s="220">
        <v>6</v>
      </c>
      <c r="I6" s="221"/>
      <c r="J6" s="183" t="s">
        <v>214</v>
      </c>
      <c r="K6" s="185" t="s">
        <v>221</v>
      </c>
      <c r="L6" s="219"/>
      <c r="M6" s="219" t="s">
        <v>16</v>
      </c>
      <c r="N6" s="144"/>
      <c r="O6" s="220"/>
      <c r="P6" s="110"/>
      <c r="Q6" s="110"/>
      <c r="R6" s="111"/>
      <c r="S6" s="111"/>
      <c r="T6" s="219" t="s">
        <v>209</v>
      </c>
      <c r="U6" s="219" t="s">
        <v>209</v>
      </c>
      <c r="V6" s="222"/>
      <c r="W6" s="226"/>
      <c r="X6" s="227"/>
      <c r="Y6" s="225"/>
      <c r="Z6" s="205"/>
      <c r="AA6" s="205"/>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C6" s="205"/>
    </row>
    <row r="7" spans="1:81" s="208" customFormat="1" ht="16.2" x14ac:dyDescent="0.45">
      <c r="A7" s="219">
        <f t="shared" si="0"/>
        <v>4</v>
      </c>
      <c r="B7" s="219" t="s">
        <v>153</v>
      </c>
      <c r="C7" s="219" t="s">
        <v>203</v>
      </c>
      <c r="D7" s="220" t="s">
        <v>204</v>
      </c>
      <c r="E7" s="220" t="s">
        <v>222</v>
      </c>
      <c r="F7" s="220"/>
      <c r="G7" s="72" t="s">
        <v>205</v>
      </c>
      <c r="H7" s="220">
        <v>10</v>
      </c>
      <c r="I7" s="221"/>
      <c r="J7" s="183" t="s">
        <v>206</v>
      </c>
      <c r="K7" s="185" t="s">
        <v>223</v>
      </c>
      <c r="L7" s="219">
        <v>3</v>
      </c>
      <c r="M7" s="219" t="s">
        <v>16</v>
      </c>
      <c r="N7" s="144"/>
      <c r="O7" s="220" t="s">
        <v>224</v>
      </c>
      <c r="P7" s="110"/>
      <c r="Q7" s="110" t="s">
        <v>205</v>
      </c>
      <c r="R7" s="111"/>
      <c r="S7" s="111"/>
      <c r="T7" s="219" t="s">
        <v>209</v>
      </c>
      <c r="U7" s="219" t="s">
        <v>209</v>
      </c>
      <c r="V7" s="222" t="s">
        <v>217</v>
      </c>
      <c r="W7" s="226" t="s">
        <v>225</v>
      </c>
      <c r="X7" s="224" t="s">
        <v>226</v>
      </c>
      <c r="Y7" s="225"/>
      <c r="Z7" s="205"/>
      <c r="AA7" s="205"/>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C7" s="205"/>
    </row>
    <row r="8" spans="1:81" s="208" customFormat="1" ht="16.2" x14ac:dyDescent="0.45">
      <c r="A8" s="219">
        <f t="shared" si="0"/>
        <v>5</v>
      </c>
      <c r="B8" s="219" t="s">
        <v>153</v>
      </c>
      <c r="C8" s="219" t="s">
        <v>211</v>
      </c>
      <c r="D8" s="220" t="s">
        <v>58</v>
      </c>
      <c r="E8" s="220" t="s">
        <v>154</v>
      </c>
      <c r="F8" s="220"/>
      <c r="G8" s="72" t="s">
        <v>205</v>
      </c>
      <c r="H8" s="220">
        <v>6</v>
      </c>
      <c r="I8" s="221"/>
      <c r="J8" s="183" t="s">
        <v>214</v>
      </c>
      <c r="K8" s="185" t="s">
        <v>227</v>
      </c>
      <c r="L8" s="219"/>
      <c r="M8" s="219" t="s">
        <v>16</v>
      </c>
      <c r="N8" s="144"/>
      <c r="O8" s="220"/>
      <c r="P8" s="110"/>
      <c r="Q8" s="110"/>
      <c r="R8" s="111"/>
      <c r="S8" s="111"/>
      <c r="T8" s="219" t="s">
        <v>209</v>
      </c>
      <c r="U8" s="219" t="s">
        <v>209</v>
      </c>
      <c r="V8" s="222" t="s">
        <v>217</v>
      </c>
      <c r="W8" s="226"/>
      <c r="X8" s="224" t="s">
        <v>226</v>
      </c>
      <c r="Y8" s="225"/>
      <c r="Z8" s="205"/>
      <c r="AA8" s="205"/>
      <c r="AB8" s="207"/>
      <c r="AC8" s="207"/>
      <c r="AD8" s="207"/>
      <c r="AE8" s="207"/>
      <c r="AF8" s="207"/>
      <c r="AG8" s="207"/>
      <c r="AH8" s="207"/>
      <c r="AI8" s="207"/>
      <c r="AJ8" s="207"/>
      <c r="AK8" s="207"/>
      <c r="AL8" s="207"/>
      <c r="AM8" s="207"/>
      <c r="AN8" s="207"/>
      <c r="AO8" s="207"/>
      <c r="AP8" s="207"/>
      <c r="AQ8" s="207"/>
      <c r="AR8" s="207"/>
      <c r="AS8" s="207"/>
      <c r="AT8" s="207"/>
      <c r="AU8" s="207"/>
      <c r="AV8" s="207"/>
      <c r="AW8" s="207"/>
      <c r="AX8" s="207"/>
      <c r="AY8" s="207"/>
      <c r="AZ8" s="207"/>
      <c r="BA8" s="207"/>
      <c r="BB8" s="207"/>
      <c r="BC8" s="207"/>
      <c r="BD8" s="207"/>
      <c r="BE8" s="207"/>
      <c r="BF8" s="207"/>
      <c r="BG8" s="207"/>
      <c r="BH8" s="207"/>
      <c r="BI8" s="207"/>
      <c r="BJ8" s="207"/>
      <c r="BK8" s="207"/>
      <c r="BL8" s="207"/>
      <c r="BM8" s="207"/>
      <c r="BN8" s="207"/>
      <c r="BO8" s="207"/>
      <c r="BP8" s="207"/>
      <c r="BQ8" s="207"/>
      <c r="BR8" s="207"/>
      <c r="BS8" s="207"/>
      <c r="BT8" s="207"/>
      <c r="BU8" s="207"/>
      <c r="BV8" s="207"/>
      <c r="BW8" s="207"/>
      <c r="BX8" s="207"/>
      <c r="BY8" s="207"/>
      <c r="BZ8" s="207"/>
      <c r="CA8" s="207"/>
      <c r="CC8" s="205"/>
    </row>
    <row r="9" spans="1:81" s="208" customFormat="1" ht="30" x14ac:dyDescent="0.45">
      <c r="A9" s="228">
        <f t="shared" si="0"/>
        <v>6</v>
      </c>
      <c r="B9" s="228" t="s">
        <v>228</v>
      </c>
      <c r="C9" s="228" t="s">
        <v>229</v>
      </c>
      <c r="D9" s="229" t="s">
        <v>204</v>
      </c>
      <c r="E9" s="229" t="s">
        <v>230</v>
      </c>
      <c r="F9" s="229"/>
      <c r="G9" s="109" t="s">
        <v>205</v>
      </c>
      <c r="H9" s="229">
        <v>20</v>
      </c>
      <c r="I9" s="230"/>
      <c r="J9" s="183" t="s">
        <v>231</v>
      </c>
      <c r="K9" s="185" t="s">
        <v>232</v>
      </c>
      <c r="L9" s="228">
        <v>4</v>
      </c>
      <c r="M9" s="228" t="s">
        <v>16</v>
      </c>
      <c r="N9" s="145"/>
      <c r="O9" s="229" t="s">
        <v>233</v>
      </c>
      <c r="P9" s="145"/>
      <c r="Q9" s="110"/>
      <c r="R9" s="146"/>
      <c r="S9" s="111"/>
      <c r="T9" s="228" t="s">
        <v>209</v>
      </c>
      <c r="U9" s="228" t="s">
        <v>209</v>
      </c>
      <c r="V9" s="231" t="s">
        <v>234</v>
      </c>
      <c r="W9" s="232" t="s">
        <v>235</v>
      </c>
      <c r="X9" s="233" t="s">
        <v>236</v>
      </c>
      <c r="Y9" s="207"/>
      <c r="Z9" s="207"/>
      <c r="AA9" s="207"/>
      <c r="AB9" s="207"/>
      <c r="AC9" s="207"/>
      <c r="AD9" s="207"/>
      <c r="AE9" s="207"/>
      <c r="AF9" s="207"/>
      <c r="AG9" s="207"/>
      <c r="AH9" s="207"/>
      <c r="AI9" s="207"/>
      <c r="AJ9" s="207"/>
      <c r="AK9" s="207"/>
      <c r="AL9" s="207"/>
      <c r="AM9" s="207"/>
      <c r="AN9" s="207"/>
      <c r="AO9" s="207"/>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C9" s="205"/>
    </row>
    <row r="10" spans="1:81" s="208" customFormat="1" ht="60" x14ac:dyDescent="0.45">
      <c r="A10" s="228">
        <f t="shared" si="0"/>
        <v>7</v>
      </c>
      <c r="B10" s="228" t="s">
        <v>237</v>
      </c>
      <c r="C10" s="228" t="s">
        <v>238</v>
      </c>
      <c r="D10" s="229" t="s">
        <v>204</v>
      </c>
      <c r="E10" s="229" t="s">
        <v>230</v>
      </c>
      <c r="F10" s="229"/>
      <c r="G10" s="109" t="s">
        <v>205</v>
      </c>
      <c r="H10" s="229">
        <v>20</v>
      </c>
      <c r="I10" s="230"/>
      <c r="J10" s="183" t="s">
        <v>239</v>
      </c>
      <c r="K10" s="185" t="s">
        <v>240</v>
      </c>
      <c r="L10" s="228"/>
      <c r="M10" s="228" t="s">
        <v>16</v>
      </c>
      <c r="N10" s="145"/>
      <c r="O10" s="229"/>
      <c r="P10" s="145"/>
      <c r="Q10" s="110"/>
      <c r="R10" s="146"/>
      <c r="S10" s="111"/>
      <c r="T10" s="228" t="s">
        <v>209</v>
      </c>
      <c r="U10" s="228" t="s">
        <v>209</v>
      </c>
      <c r="V10" s="231" t="s">
        <v>234</v>
      </c>
      <c r="W10" s="232" t="s">
        <v>241</v>
      </c>
      <c r="X10" s="233" t="s">
        <v>661</v>
      </c>
      <c r="Y10" s="207"/>
      <c r="Z10" s="207"/>
      <c r="AA10" s="207"/>
      <c r="AB10" s="207"/>
      <c r="AC10" s="207"/>
      <c r="AD10" s="207"/>
      <c r="AE10" s="207"/>
      <c r="AF10" s="207"/>
      <c r="AG10" s="207"/>
      <c r="AH10" s="207"/>
      <c r="AI10" s="207"/>
      <c r="AJ10" s="207"/>
      <c r="AK10" s="207"/>
      <c r="AL10" s="207"/>
      <c r="AM10" s="207"/>
      <c r="AN10" s="207"/>
      <c r="AO10" s="207"/>
      <c r="AP10" s="207"/>
      <c r="AQ10" s="207"/>
      <c r="AR10" s="207"/>
      <c r="AS10" s="207"/>
      <c r="AT10" s="207"/>
      <c r="AU10" s="207"/>
      <c r="AV10" s="207"/>
      <c r="AW10" s="207"/>
      <c r="AX10" s="207"/>
      <c r="AY10" s="207"/>
      <c r="AZ10" s="207"/>
      <c r="BA10" s="207"/>
      <c r="BB10" s="207"/>
      <c r="BC10" s="207"/>
      <c r="BD10" s="207"/>
      <c r="BE10" s="207"/>
      <c r="BF10" s="207"/>
      <c r="BG10" s="207"/>
      <c r="BH10" s="207"/>
      <c r="BI10" s="207"/>
      <c r="BJ10" s="207"/>
      <c r="BK10" s="207"/>
      <c r="BL10" s="207"/>
      <c r="BM10" s="207"/>
      <c r="BN10" s="207"/>
      <c r="BO10" s="207"/>
      <c r="BP10" s="207"/>
      <c r="BQ10" s="207"/>
      <c r="BR10" s="207"/>
      <c r="BS10" s="207"/>
      <c r="BT10" s="207"/>
      <c r="BU10" s="207"/>
      <c r="BV10" s="207"/>
      <c r="BW10" s="207"/>
      <c r="BX10" s="207"/>
      <c r="BY10" s="207"/>
      <c r="BZ10" s="207"/>
      <c r="CA10" s="207"/>
      <c r="CC10" s="205"/>
    </row>
    <row r="11" spans="1:81" s="208" customFormat="1" ht="16.2" x14ac:dyDescent="0.45">
      <c r="A11" s="228">
        <f t="shared" si="0"/>
        <v>8</v>
      </c>
      <c r="B11" s="228" t="s">
        <v>153</v>
      </c>
      <c r="C11" s="228" t="s">
        <v>243</v>
      </c>
      <c r="D11" s="229" t="s">
        <v>244</v>
      </c>
      <c r="E11" s="229" t="s">
        <v>245</v>
      </c>
      <c r="F11" s="229"/>
      <c r="G11" s="109" t="s">
        <v>205</v>
      </c>
      <c r="H11" s="229">
        <v>10</v>
      </c>
      <c r="I11" s="230"/>
      <c r="J11" s="183" t="s">
        <v>206</v>
      </c>
      <c r="K11" s="185" t="s">
        <v>246</v>
      </c>
      <c r="L11" s="228">
        <v>5</v>
      </c>
      <c r="M11" s="228" t="s">
        <v>16</v>
      </c>
      <c r="N11" s="145"/>
      <c r="O11" s="229" t="s">
        <v>247</v>
      </c>
      <c r="P11" s="110"/>
      <c r="Q11" s="110" t="s">
        <v>205</v>
      </c>
      <c r="R11" s="111"/>
      <c r="S11" s="111"/>
      <c r="T11" s="228" t="s">
        <v>209</v>
      </c>
      <c r="U11" s="228" t="s">
        <v>209</v>
      </c>
      <c r="V11" s="231"/>
      <c r="W11" s="232" t="s">
        <v>248</v>
      </c>
      <c r="X11" s="234"/>
      <c r="Y11" s="225"/>
      <c r="Z11" s="207"/>
      <c r="AA11" s="207"/>
      <c r="AB11" s="207"/>
      <c r="AC11" s="207"/>
      <c r="AD11" s="207"/>
      <c r="AE11" s="207"/>
      <c r="AF11" s="207"/>
      <c r="AG11" s="207"/>
      <c r="AH11" s="207"/>
      <c r="AI11" s="207"/>
      <c r="AJ11" s="207"/>
      <c r="AK11" s="207"/>
      <c r="AL11" s="207"/>
      <c r="AM11" s="207"/>
      <c r="AN11" s="207"/>
      <c r="AO11" s="207"/>
      <c r="AP11" s="207"/>
      <c r="AQ11" s="207"/>
      <c r="AR11" s="207"/>
      <c r="AS11" s="207"/>
      <c r="AT11" s="207"/>
      <c r="AU11" s="207"/>
      <c r="AV11" s="207"/>
      <c r="AW11" s="207"/>
      <c r="AX11" s="207"/>
      <c r="AY11" s="207"/>
      <c r="AZ11" s="207"/>
      <c r="BA11" s="207"/>
      <c r="BB11" s="207"/>
      <c r="BC11" s="207"/>
      <c r="BD11" s="207"/>
      <c r="BE11" s="207"/>
      <c r="BF11" s="207"/>
      <c r="BG11" s="207"/>
      <c r="BH11" s="207"/>
      <c r="BI11" s="207"/>
      <c r="BJ11" s="207"/>
      <c r="BK11" s="207"/>
      <c r="BL11" s="207"/>
      <c r="BM11" s="207"/>
      <c r="BN11" s="207"/>
      <c r="BO11" s="207"/>
      <c r="BP11" s="207"/>
      <c r="BQ11" s="207"/>
      <c r="BR11" s="207"/>
      <c r="BS11" s="207"/>
      <c r="BT11" s="207"/>
      <c r="BU11" s="207"/>
      <c r="BV11" s="207"/>
      <c r="BW11" s="207"/>
      <c r="BX11" s="207"/>
      <c r="BY11" s="207"/>
      <c r="BZ11" s="207"/>
      <c r="CA11" s="207"/>
      <c r="CC11" s="205"/>
    </row>
    <row r="12" spans="1:81" s="208" customFormat="1" ht="30" x14ac:dyDescent="0.45">
      <c r="A12" s="235">
        <f t="shared" si="0"/>
        <v>9</v>
      </c>
      <c r="B12" s="235" t="s">
        <v>153</v>
      </c>
      <c r="C12" s="235" t="s">
        <v>249</v>
      </c>
      <c r="D12" s="236" t="s">
        <v>244</v>
      </c>
      <c r="E12" s="236" t="s">
        <v>250</v>
      </c>
      <c r="F12" s="229"/>
      <c r="G12" s="109" t="s">
        <v>205</v>
      </c>
      <c r="H12" s="229">
        <v>40</v>
      </c>
      <c r="I12" s="230"/>
      <c r="J12" s="228" t="s">
        <v>209</v>
      </c>
      <c r="K12" s="228" t="s">
        <v>209</v>
      </c>
      <c r="L12" s="228">
        <v>6</v>
      </c>
      <c r="M12" s="228" t="s">
        <v>16</v>
      </c>
      <c r="N12" s="145"/>
      <c r="O12" s="229" t="s">
        <v>251</v>
      </c>
      <c r="P12" s="110"/>
      <c r="Q12" s="110" t="s">
        <v>205</v>
      </c>
      <c r="R12" s="111"/>
      <c r="S12" s="111"/>
      <c r="T12" s="228" t="s">
        <v>209</v>
      </c>
      <c r="U12" s="228" t="s">
        <v>209</v>
      </c>
      <c r="V12" s="231" t="s">
        <v>217</v>
      </c>
      <c r="W12" s="232" t="s">
        <v>252</v>
      </c>
      <c r="X12" s="237" t="s">
        <v>253</v>
      </c>
      <c r="Y12" s="238"/>
      <c r="Z12" s="207"/>
      <c r="AA12" s="207"/>
      <c r="AB12" s="207"/>
      <c r="AC12" s="207"/>
      <c r="AD12" s="207"/>
      <c r="AE12" s="207"/>
      <c r="AF12" s="207"/>
      <c r="AG12" s="207"/>
      <c r="AH12" s="207"/>
      <c r="AI12" s="207"/>
      <c r="AJ12" s="207"/>
      <c r="AK12" s="207"/>
      <c r="AL12" s="207"/>
      <c r="AM12" s="207"/>
      <c r="AN12" s="207"/>
      <c r="AO12" s="207"/>
      <c r="AP12" s="207"/>
      <c r="AQ12" s="207"/>
      <c r="AR12" s="207"/>
      <c r="AS12" s="207"/>
      <c r="AT12" s="207"/>
      <c r="AU12" s="207"/>
      <c r="AV12" s="207"/>
      <c r="AW12" s="207"/>
      <c r="AX12" s="207"/>
      <c r="AY12" s="207"/>
      <c r="AZ12" s="207"/>
      <c r="BA12" s="207"/>
      <c r="BB12" s="207"/>
      <c r="BC12" s="207"/>
      <c r="BD12" s="207"/>
      <c r="BE12" s="207"/>
      <c r="BF12" s="207"/>
      <c r="BG12" s="207"/>
      <c r="BH12" s="207"/>
      <c r="BI12" s="207"/>
      <c r="BJ12" s="207"/>
      <c r="BK12" s="207"/>
      <c r="BL12" s="207"/>
      <c r="BM12" s="207"/>
      <c r="BN12" s="207"/>
      <c r="BO12" s="207"/>
      <c r="BP12" s="207"/>
      <c r="BQ12" s="207"/>
      <c r="BR12" s="207"/>
      <c r="BS12" s="207"/>
      <c r="BT12" s="207"/>
      <c r="BU12" s="207"/>
      <c r="BV12" s="207"/>
      <c r="BW12" s="207"/>
      <c r="BX12" s="207"/>
      <c r="BY12" s="207"/>
      <c r="BZ12" s="207"/>
      <c r="CA12" s="207"/>
      <c r="CC12" s="205"/>
    </row>
    <row r="13" spans="1:81" s="208" customFormat="1" ht="16.2" x14ac:dyDescent="0.45">
      <c r="A13" s="235">
        <f t="shared" si="0"/>
        <v>10</v>
      </c>
      <c r="B13" s="235" t="s">
        <v>153</v>
      </c>
      <c r="C13" s="235" t="s">
        <v>249</v>
      </c>
      <c r="D13" s="236" t="s">
        <v>254</v>
      </c>
      <c r="E13" s="236" t="s">
        <v>255</v>
      </c>
      <c r="F13" s="229"/>
      <c r="G13" s="109" t="s">
        <v>205</v>
      </c>
      <c r="H13" s="229">
        <v>40</v>
      </c>
      <c r="I13" s="230"/>
      <c r="J13" s="228" t="s">
        <v>209</v>
      </c>
      <c r="K13" s="228" t="s">
        <v>209</v>
      </c>
      <c r="L13" s="228"/>
      <c r="M13" s="228" t="s">
        <v>16</v>
      </c>
      <c r="N13" s="145"/>
      <c r="O13" s="229"/>
      <c r="P13" s="110"/>
      <c r="Q13" s="110"/>
      <c r="R13" s="111"/>
      <c r="S13" s="111"/>
      <c r="T13" s="228" t="s">
        <v>209</v>
      </c>
      <c r="U13" s="228" t="s">
        <v>209</v>
      </c>
      <c r="V13" s="231" t="s">
        <v>217</v>
      </c>
      <c r="W13" s="232"/>
      <c r="X13" s="234"/>
      <c r="Y13" s="239"/>
      <c r="Z13" s="207"/>
      <c r="AA13" s="207"/>
      <c r="AB13" s="207"/>
      <c r="AC13" s="207"/>
      <c r="AD13" s="207"/>
      <c r="AE13" s="207"/>
      <c r="AF13" s="207"/>
      <c r="AG13" s="207"/>
      <c r="AH13" s="207"/>
      <c r="AI13" s="207"/>
      <c r="AJ13" s="207"/>
      <c r="AK13" s="207"/>
      <c r="AL13" s="207"/>
      <c r="AM13" s="207"/>
      <c r="AN13" s="207"/>
      <c r="AO13" s="207"/>
      <c r="AP13" s="207"/>
      <c r="AQ13" s="207"/>
      <c r="AR13" s="207"/>
      <c r="AS13" s="207"/>
      <c r="AT13" s="207"/>
      <c r="AU13" s="207"/>
      <c r="AV13" s="207"/>
      <c r="AW13" s="207"/>
      <c r="AX13" s="207"/>
      <c r="AY13" s="207"/>
      <c r="AZ13" s="207"/>
      <c r="BA13" s="207"/>
      <c r="BB13" s="207"/>
      <c r="BC13" s="207"/>
      <c r="BD13" s="207"/>
      <c r="BE13" s="207"/>
      <c r="BF13" s="207"/>
      <c r="BG13" s="207"/>
      <c r="BH13" s="207"/>
      <c r="BI13" s="207"/>
      <c r="BJ13" s="207"/>
      <c r="BK13" s="207"/>
      <c r="BL13" s="207"/>
      <c r="BM13" s="207"/>
      <c r="BN13" s="207"/>
      <c r="BO13" s="207"/>
      <c r="BP13" s="207"/>
      <c r="BQ13" s="207"/>
      <c r="BR13" s="207"/>
      <c r="BS13" s="207"/>
      <c r="BT13" s="207"/>
      <c r="BU13" s="207"/>
      <c r="BV13" s="207"/>
      <c r="BW13" s="207"/>
      <c r="BX13" s="207"/>
      <c r="BY13" s="207"/>
      <c r="BZ13" s="207"/>
      <c r="CA13" s="207"/>
      <c r="CC13" s="205"/>
    </row>
    <row r="14" spans="1:81" s="208" customFormat="1" ht="16.2" x14ac:dyDescent="0.45">
      <c r="A14" s="228">
        <f t="shared" si="0"/>
        <v>11</v>
      </c>
      <c r="B14" s="228" t="s">
        <v>256</v>
      </c>
      <c r="C14" s="228" t="s">
        <v>257</v>
      </c>
      <c r="D14" s="229" t="s">
        <v>258</v>
      </c>
      <c r="E14" s="229" t="s">
        <v>259</v>
      </c>
      <c r="F14" s="229"/>
      <c r="G14" s="109" t="s">
        <v>205</v>
      </c>
      <c r="H14" s="229">
        <v>20</v>
      </c>
      <c r="I14" s="230"/>
      <c r="J14" s="183" t="s">
        <v>662</v>
      </c>
      <c r="K14" s="185" t="s">
        <v>663</v>
      </c>
      <c r="L14" s="228"/>
      <c r="M14" s="228" t="s">
        <v>16</v>
      </c>
      <c r="N14" s="110"/>
      <c r="O14" s="229"/>
      <c r="P14" s="110"/>
      <c r="Q14" s="110"/>
      <c r="R14" s="111"/>
      <c r="S14" s="111"/>
      <c r="T14" s="228" t="s">
        <v>209</v>
      </c>
      <c r="U14" s="228" t="s">
        <v>209</v>
      </c>
      <c r="V14" s="231" t="s">
        <v>234</v>
      </c>
      <c r="W14" s="232" t="s">
        <v>260</v>
      </c>
      <c r="X14" s="240" t="s">
        <v>261</v>
      </c>
      <c r="Y14" s="112"/>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1"/>
      <c r="BD14" s="241"/>
      <c r="BE14" s="241"/>
      <c r="BF14" s="241"/>
      <c r="BG14" s="241"/>
      <c r="BH14" s="241"/>
      <c r="BI14" s="241"/>
      <c r="BJ14" s="241"/>
      <c r="BK14" s="241"/>
      <c r="BL14" s="241"/>
      <c r="BM14" s="241"/>
      <c r="BN14" s="241"/>
      <c r="BO14" s="241"/>
      <c r="BP14" s="241"/>
      <c r="BQ14" s="241"/>
      <c r="BR14" s="241"/>
      <c r="BS14" s="241"/>
      <c r="BT14" s="241"/>
      <c r="BU14" s="241"/>
      <c r="BV14" s="241"/>
      <c r="BW14" s="241"/>
      <c r="BX14" s="241"/>
      <c r="BY14" s="241"/>
      <c r="BZ14" s="241"/>
      <c r="CA14" s="241"/>
      <c r="CB14" s="242"/>
      <c r="CC14" s="205"/>
    </row>
    <row r="15" spans="1:81" s="208" customFormat="1" ht="30" x14ac:dyDescent="0.45">
      <c r="A15" s="235">
        <f t="shared" si="0"/>
        <v>12</v>
      </c>
      <c r="B15" s="235" t="s">
        <v>153</v>
      </c>
      <c r="C15" s="235" t="s">
        <v>249</v>
      </c>
      <c r="D15" s="236" t="s">
        <v>262</v>
      </c>
      <c r="E15" s="236" t="s">
        <v>250</v>
      </c>
      <c r="F15" s="229"/>
      <c r="G15" s="109" t="s">
        <v>205</v>
      </c>
      <c r="H15" s="229">
        <v>40</v>
      </c>
      <c r="I15" s="230"/>
      <c r="J15" s="228">
        <f>-[7]表紙!A2</f>
        <v>0</v>
      </c>
      <c r="K15" s="228" t="s">
        <v>209</v>
      </c>
      <c r="L15" s="228">
        <v>7</v>
      </c>
      <c r="M15" s="228" t="s">
        <v>16</v>
      </c>
      <c r="N15" s="145"/>
      <c r="O15" s="229" t="s">
        <v>263</v>
      </c>
      <c r="P15" s="110"/>
      <c r="Q15" s="110" t="s">
        <v>205</v>
      </c>
      <c r="R15" s="111"/>
      <c r="S15" s="111"/>
      <c r="T15" s="228" t="s">
        <v>209</v>
      </c>
      <c r="U15" s="228" t="s">
        <v>209</v>
      </c>
      <c r="V15" s="231" t="s">
        <v>217</v>
      </c>
      <c r="W15" s="232" t="s">
        <v>252</v>
      </c>
      <c r="X15" s="237" t="s">
        <v>253</v>
      </c>
      <c r="Y15" s="243"/>
      <c r="Z15" s="205"/>
      <c r="AA15" s="207"/>
      <c r="AB15" s="207"/>
      <c r="AC15" s="207"/>
      <c r="AD15" s="207"/>
      <c r="AE15" s="207"/>
      <c r="AF15" s="207"/>
      <c r="AG15" s="207"/>
      <c r="AH15" s="207"/>
      <c r="AI15" s="207"/>
      <c r="AJ15" s="207"/>
      <c r="AK15" s="207"/>
      <c r="AL15" s="207"/>
      <c r="AM15" s="207"/>
      <c r="AN15" s="207"/>
      <c r="AO15" s="207"/>
      <c r="AP15" s="207"/>
      <c r="AQ15" s="207"/>
      <c r="AR15" s="207"/>
      <c r="AS15" s="207"/>
      <c r="AT15" s="207"/>
      <c r="AU15" s="207"/>
      <c r="AV15" s="207"/>
      <c r="AW15" s="207"/>
      <c r="AX15" s="207"/>
      <c r="AY15" s="207"/>
      <c r="AZ15" s="207"/>
      <c r="BA15" s="207"/>
      <c r="BB15" s="207"/>
      <c r="BC15" s="207"/>
      <c r="BD15" s="207"/>
      <c r="BE15" s="207"/>
      <c r="BF15" s="207"/>
      <c r="BG15" s="207"/>
      <c r="BH15" s="207"/>
      <c r="BI15" s="207"/>
      <c r="BJ15" s="207"/>
      <c r="BK15" s="207"/>
      <c r="BL15" s="207"/>
      <c r="BM15" s="207"/>
      <c r="BN15" s="207"/>
      <c r="BO15" s="207"/>
      <c r="BP15" s="207"/>
      <c r="BQ15" s="207"/>
      <c r="BR15" s="207"/>
      <c r="BS15" s="207"/>
      <c r="BT15" s="207"/>
      <c r="BU15" s="207"/>
      <c r="BV15" s="207"/>
      <c r="BW15" s="207"/>
      <c r="BX15" s="207"/>
      <c r="BY15" s="207"/>
      <c r="BZ15" s="207"/>
      <c r="CA15" s="207"/>
      <c r="CC15" s="205"/>
    </row>
    <row r="16" spans="1:81" s="208" customFormat="1" ht="16.2" x14ac:dyDescent="0.45">
      <c r="A16" s="235">
        <f t="shared" si="0"/>
        <v>13</v>
      </c>
      <c r="B16" s="235" t="s">
        <v>153</v>
      </c>
      <c r="C16" s="235" t="s">
        <v>249</v>
      </c>
      <c r="D16" s="236" t="s">
        <v>262</v>
      </c>
      <c r="E16" s="236" t="s">
        <v>255</v>
      </c>
      <c r="F16" s="229"/>
      <c r="G16" s="109" t="s">
        <v>205</v>
      </c>
      <c r="H16" s="229">
        <v>40</v>
      </c>
      <c r="I16" s="230"/>
      <c r="J16" s="228" t="s">
        <v>209</v>
      </c>
      <c r="K16" s="228" t="s">
        <v>209</v>
      </c>
      <c r="L16" s="228"/>
      <c r="M16" s="228" t="s">
        <v>16</v>
      </c>
      <c r="N16" s="145"/>
      <c r="O16" s="229"/>
      <c r="P16" s="110"/>
      <c r="Q16" s="110"/>
      <c r="R16" s="111"/>
      <c r="S16" s="111"/>
      <c r="T16" s="228" t="s">
        <v>209</v>
      </c>
      <c r="U16" s="228" t="s">
        <v>209</v>
      </c>
      <c r="V16" s="231" t="s">
        <v>217</v>
      </c>
      <c r="W16" s="232"/>
      <c r="X16" s="234"/>
      <c r="Y16" s="243"/>
      <c r="Z16" s="205"/>
      <c r="AA16" s="207"/>
      <c r="AB16" s="207"/>
      <c r="AC16" s="207"/>
      <c r="AD16" s="207"/>
      <c r="AE16" s="207"/>
      <c r="AF16" s="207"/>
      <c r="AG16" s="207"/>
      <c r="AH16" s="207"/>
      <c r="AI16" s="207"/>
      <c r="AJ16" s="207"/>
      <c r="AK16" s="207"/>
      <c r="AL16" s="207"/>
      <c r="AM16" s="207"/>
      <c r="AN16" s="207"/>
      <c r="AO16" s="207"/>
      <c r="AP16" s="207"/>
      <c r="AQ16" s="207"/>
      <c r="AR16" s="207"/>
      <c r="AS16" s="207"/>
      <c r="AT16" s="207"/>
      <c r="AU16" s="207"/>
      <c r="AV16" s="207"/>
      <c r="AW16" s="207"/>
      <c r="AX16" s="207"/>
      <c r="AY16" s="207"/>
      <c r="AZ16" s="207"/>
      <c r="BA16" s="207"/>
      <c r="BB16" s="207"/>
      <c r="BC16" s="207"/>
      <c r="BD16" s="207"/>
      <c r="BE16" s="207"/>
      <c r="BF16" s="207"/>
      <c r="BG16" s="207"/>
      <c r="BH16" s="207"/>
      <c r="BI16" s="207"/>
      <c r="BJ16" s="207"/>
      <c r="BK16" s="207"/>
      <c r="BL16" s="207"/>
      <c r="BM16" s="207"/>
      <c r="BN16" s="207"/>
      <c r="BO16" s="207"/>
      <c r="BP16" s="207"/>
      <c r="BQ16" s="207"/>
      <c r="BR16" s="207"/>
      <c r="BS16" s="207"/>
      <c r="BT16" s="207"/>
      <c r="BU16" s="207"/>
      <c r="BV16" s="207"/>
      <c r="BW16" s="207"/>
      <c r="BX16" s="207"/>
      <c r="BY16" s="207"/>
      <c r="BZ16" s="207"/>
      <c r="CA16" s="207"/>
      <c r="CC16" s="205"/>
    </row>
    <row r="17" spans="1:81" s="208" customFormat="1" ht="16.2" x14ac:dyDescent="0.45">
      <c r="A17" s="228">
        <f t="shared" si="0"/>
        <v>14</v>
      </c>
      <c r="B17" s="228" t="s">
        <v>256</v>
      </c>
      <c r="C17" s="228" t="s">
        <v>257</v>
      </c>
      <c r="D17" s="229" t="s">
        <v>258</v>
      </c>
      <c r="E17" s="229" t="s">
        <v>664</v>
      </c>
      <c r="F17" s="229"/>
      <c r="G17" s="109" t="s">
        <v>205</v>
      </c>
      <c r="H17" s="229">
        <v>20</v>
      </c>
      <c r="I17" s="230"/>
      <c r="J17" s="183" t="s">
        <v>662</v>
      </c>
      <c r="K17" s="185" t="s">
        <v>663</v>
      </c>
      <c r="L17" s="228"/>
      <c r="M17" s="228" t="s">
        <v>16</v>
      </c>
      <c r="N17" s="145"/>
      <c r="O17" s="229"/>
      <c r="P17" s="110"/>
      <c r="Q17" s="110"/>
      <c r="R17" s="111"/>
      <c r="S17" s="111"/>
      <c r="T17" s="228" t="s">
        <v>209</v>
      </c>
      <c r="U17" s="228" t="s">
        <v>209</v>
      </c>
      <c r="V17" s="231" t="s">
        <v>234</v>
      </c>
      <c r="W17" s="232" t="s">
        <v>260</v>
      </c>
      <c r="X17" s="240" t="s">
        <v>261</v>
      </c>
      <c r="Y17" s="243"/>
      <c r="Z17" s="205"/>
      <c r="AA17" s="207"/>
      <c r="AB17" s="207"/>
      <c r="AC17" s="207"/>
      <c r="AD17" s="207"/>
      <c r="AE17" s="207"/>
      <c r="AF17" s="207"/>
      <c r="AG17" s="207"/>
      <c r="AH17" s="207"/>
      <c r="AI17" s="207"/>
      <c r="AJ17" s="207"/>
      <c r="AK17" s="207"/>
      <c r="AL17" s="207"/>
      <c r="AM17" s="207"/>
      <c r="AN17" s="207"/>
      <c r="AO17" s="207"/>
      <c r="AP17" s="207"/>
      <c r="AQ17" s="207"/>
      <c r="AR17" s="207"/>
      <c r="AS17" s="207"/>
      <c r="AT17" s="207"/>
      <c r="AU17" s="207"/>
      <c r="AV17" s="207"/>
      <c r="AW17" s="207"/>
      <c r="AX17" s="207"/>
      <c r="AY17" s="207"/>
      <c r="AZ17" s="207"/>
      <c r="BA17" s="207"/>
      <c r="BB17" s="207"/>
      <c r="BC17" s="207"/>
      <c r="BD17" s="207"/>
      <c r="BE17" s="207"/>
      <c r="BF17" s="207"/>
      <c r="BG17" s="207"/>
      <c r="BH17" s="207"/>
      <c r="BI17" s="207"/>
      <c r="BJ17" s="207"/>
      <c r="BK17" s="207"/>
      <c r="BL17" s="207"/>
      <c r="BM17" s="207"/>
      <c r="BN17" s="207"/>
      <c r="BO17" s="207"/>
      <c r="BP17" s="207"/>
      <c r="BQ17" s="207"/>
      <c r="BR17" s="207"/>
      <c r="BS17" s="207"/>
      <c r="BT17" s="207"/>
      <c r="BU17" s="207"/>
      <c r="BV17" s="207"/>
      <c r="BW17" s="207"/>
      <c r="BX17" s="207"/>
      <c r="BY17" s="207"/>
      <c r="BZ17" s="207"/>
      <c r="CA17" s="207"/>
      <c r="CC17" s="205"/>
    </row>
    <row r="18" spans="1:81" s="244" customFormat="1" ht="30" x14ac:dyDescent="0.45">
      <c r="A18" s="235">
        <f t="shared" si="0"/>
        <v>15</v>
      </c>
      <c r="B18" s="235" t="s">
        <v>153</v>
      </c>
      <c r="C18" s="235" t="s">
        <v>249</v>
      </c>
      <c r="D18" s="236" t="s">
        <v>264</v>
      </c>
      <c r="E18" s="236" t="s">
        <v>250</v>
      </c>
      <c r="F18" s="229"/>
      <c r="G18" s="109" t="s">
        <v>205</v>
      </c>
      <c r="H18" s="229">
        <v>40</v>
      </c>
      <c r="I18" s="230"/>
      <c r="J18" s="228" t="s">
        <v>209</v>
      </c>
      <c r="K18" s="228" t="s">
        <v>209</v>
      </c>
      <c r="L18" s="228">
        <v>8</v>
      </c>
      <c r="M18" s="228" t="s">
        <v>16</v>
      </c>
      <c r="N18" s="145"/>
      <c r="O18" s="229" t="s">
        <v>265</v>
      </c>
      <c r="P18" s="110"/>
      <c r="Q18" s="110" t="s">
        <v>205</v>
      </c>
      <c r="R18" s="111"/>
      <c r="S18" s="111"/>
      <c r="T18" s="228" t="s">
        <v>209</v>
      </c>
      <c r="U18" s="228" t="s">
        <v>209</v>
      </c>
      <c r="V18" s="231" t="s">
        <v>217</v>
      </c>
      <c r="W18" s="232" t="s">
        <v>252</v>
      </c>
      <c r="X18" s="237" t="s">
        <v>253</v>
      </c>
      <c r="Y18" s="225"/>
      <c r="Z18" s="207"/>
      <c r="AA18" s="207"/>
      <c r="AB18" s="207"/>
      <c r="AC18" s="207"/>
      <c r="AD18" s="207"/>
      <c r="AE18" s="207"/>
      <c r="AF18" s="207"/>
      <c r="AG18" s="207"/>
      <c r="AH18" s="207"/>
      <c r="AI18" s="207"/>
      <c r="AJ18" s="207"/>
      <c r="AK18" s="207"/>
      <c r="AL18" s="207"/>
      <c r="AM18" s="207"/>
      <c r="AN18" s="207"/>
      <c r="AO18" s="207"/>
      <c r="AP18" s="207"/>
      <c r="AQ18" s="207"/>
      <c r="AR18" s="207"/>
      <c r="AS18" s="207"/>
      <c r="AT18" s="207"/>
      <c r="AU18" s="207"/>
      <c r="AV18" s="207"/>
      <c r="AW18" s="207"/>
      <c r="AX18" s="207"/>
      <c r="AY18" s="207"/>
      <c r="AZ18" s="207"/>
      <c r="BA18" s="207"/>
      <c r="BB18" s="207"/>
      <c r="BC18" s="207"/>
      <c r="BD18" s="207"/>
      <c r="BE18" s="207"/>
      <c r="BF18" s="207"/>
      <c r="BG18" s="207"/>
      <c r="BH18" s="207"/>
      <c r="BI18" s="207"/>
      <c r="BJ18" s="207"/>
      <c r="BK18" s="207"/>
      <c r="BL18" s="207"/>
      <c r="BM18" s="207"/>
      <c r="BN18" s="207"/>
      <c r="BO18" s="207"/>
      <c r="BP18" s="207"/>
      <c r="BQ18" s="207"/>
      <c r="BR18" s="207"/>
      <c r="BS18" s="207"/>
      <c r="BT18" s="207"/>
      <c r="BU18" s="207"/>
      <c r="BV18" s="207"/>
      <c r="BW18" s="207"/>
      <c r="BX18" s="207"/>
      <c r="BY18" s="207"/>
      <c r="BZ18" s="207"/>
      <c r="CA18" s="207"/>
      <c r="CB18" s="208"/>
      <c r="CC18" s="205"/>
    </row>
    <row r="19" spans="1:81" ht="16.2" x14ac:dyDescent="0.45">
      <c r="A19" s="235">
        <f t="shared" si="0"/>
        <v>16</v>
      </c>
      <c r="B19" s="235" t="s">
        <v>153</v>
      </c>
      <c r="C19" s="235" t="s">
        <v>249</v>
      </c>
      <c r="D19" s="236" t="s">
        <v>264</v>
      </c>
      <c r="E19" s="236" t="s">
        <v>255</v>
      </c>
      <c r="F19" s="229"/>
      <c r="G19" s="109" t="s">
        <v>205</v>
      </c>
      <c r="H19" s="229">
        <v>40</v>
      </c>
      <c r="I19" s="230"/>
      <c r="J19" s="228" t="s">
        <v>209</v>
      </c>
      <c r="K19" s="228" t="s">
        <v>209</v>
      </c>
      <c r="L19" s="228"/>
      <c r="M19" s="228" t="s">
        <v>16</v>
      </c>
      <c r="N19" s="145"/>
      <c r="O19" s="229"/>
      <c r="P19" s="110"/>
      <c r="Q19" s="110"/>
      <c r="R19" s="111"/>
      <c r="S19" s="111"/>
      <c r="T19" s="228" t="s">
        <v>209</v>
      </c>
      <c r="U19" s="228" t="s">
        <v>209</v>
      </c>
      <c r="V19" s="231" t="s">
        <v>217</v>
      </c>
      <c r="W19" s="232"/>
      <c r="X19" s="234"/>
      <c r="Y19" s="225"/>
      <c r="Z19" s="207"/>
      <c r="AA19" s="207"/>
      <c r="AB19" s="207"/>
      <c r="AC19" s="207"/>
      <c r="AD19" s="207"/>
      <c r="AE19" s="207"/>
      <c r="AF19" s="207"/>
      <c r="AG19" s="207"/>
      <c r="AH19" s="207"/>
      <c r="AI19" s="207"/>
      <c r="AJ19" s="207"/>
      <c r="AK19" s="207"/>
      <c r="AL19" s="207"/>
      <c r="AM19" s="207"/>
      <c r="AN19" s="207"/>
      <c r="AO19" s="207"/>
      <c r="AP19" s="207"/>
      <c r="AQ19" s="207"/>
      <c r="AR19" s="207"/>
      <c r="AS19" s="207"/>
      <c r="AT19" s="207"/>
      <c r="AU19" s="207"/>
      <c r="AV19" s="207"/>
      <c r="AW19" s="207"/>
      <c r="AX19" s="207"/>
      <c r="AY19" s="207"/>
      <c r="AZ19" s="207"/>
      <c r="BA19" s="207"/>
      <c r="BB19" s="207"/>
      <c r="BC19" s="207"/>
      <c r="BD19" s="207"/>
      <c r="BE19" s="207"/>
      <c r="BF19" s="207"/>
      <c r="BG19" s="207"/>
      <c r="BH19" s="207"/>
      <c r="BI19" s="207"/>
      <c r="BJ19" s="207"/>
      <c r="BK19" s="207"/>
      <c r="BL19" s="207"/>
      <c r="BM19" s="207"/>
      <c r="BN19" s="207"/>
      <c r="BO19" s="207"/>
      <c r="BP19" s="207"/>
      <c r="BQ19" s="207"/>
      <c r="BR19" s="207"/>
      <c r="BS19" s="207"/>
      <c r="BT19" s="207"/>
      <c r="BU19" s="207"/>
      <c r="BV19" s="207"/>
      <c r="BW19" s="207"/>
      <c r="BX19" s="207"/>
      <c r="BY19" s="207"/>
      <c r="BZ19" s="207"/>
      <c r="CA19" s="207"/>
      <c r="CB19" s="208"/>
    </row>
    <row r="20" spans="1:81" ht="16.2" x14ac:dyDescent="0.45">
      <c r="A20" s="228">
        <f t="shared" si="0"/>
        <v>17</v>
      </c>
      <c r="B20" s="228" t="s">
        <v>256</v>
      </c>
      <c r="C20" s="228" t="s">
        <v>257</v>
      </c>
      <c r="D20" s="229" t="s">
        <v>266</v>
      </c>
      <c r="E20" s="229" t="s">
        <v>259</v>
      </c>
      <c r="F20" s="229"/>
      <c r="G20" s="109" t="s">
        <v>205</v>
      </c>
      <c r="H20" s="229">
        <v>20</v>
      </c>
      <c r="I20" s="230"/>
      <c r="J20" s="183" t="s">
        <v>662</v>
      </c>
      <c r="K20" s="185" t="s">
        <v>663</v>
      </c>
      <c r="L20" s="228"/>
      <c r="M20" s="228" t="s">
        <v>16</v>
      </c>
      <c r="N20" s="145"/>
      <c r="O20" s="229"/>
      <c r="P20" s="110"/>
      <c r="Q20" s="110"/>
      <c r="R20" s="111"/>
      <c r="S20" s="111"/>
      <c r="T20" s="228" t="s">
        <v>209</v>
      </c>
      <c r="U20" s="228" t="s">
        <v>209</v>
      </c>
      <c r="V20" s="231" t="s">
        <v>234</v>
      </c>
      <c r="W20" s="232" t="s">
        <v>260</v>
      </c>
      <c r="X20" s="240" t="s">
        <v>261</v>
      </c>
      <c r="Y20" s="225"/>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7"/>
      <c r="BB20" s="207"/>
      <c r="BC20" s="207"/>
      <c r="BD20" s="207"/>
      <c r="BE20" s="207"/>
      <c r="BF20" s="207"/>
      <c r="BG20" s="207"/>
      <c r="BH20" s="207"/>
      <c r="BI20" s="207"/>
      <c r="BJ20" s="207"/>
      <c r="BK20" s="207"/>
      <c r="BL20" s="207"/>
      <c r="BM20" s="207"/>
      <c r="BN20" s="207"/>
      <c r="BO20" s="207"/>
      <c r="BP20" s="207"/>
      <c r="BQ20" s="207"/>
      <c r="BR20" s="207"/>
      <c r="BS20" s="207"/>
      <c r="BT20" s="207"/>
      <c r="BU20" s="207"/>
      <c r="BV20" s="207"/>
      <c r="BW20" s="207"/>
      <c r="BX20" s="207"/>
      <c r="BY20" s="207"/>
      <c r="BZ20" s="207"/>
      <c r="CA20" s="207"/>
      <c r="CB20" s="208"/>
    </row>
    <row r="21" spans="1:81" ht="16.2" x14ac:dyDescent="0.45">
      <c r="A21" s="228">
        <f t="shared" si="0"/>
        <v>18</v>
      </c>
      <c r="B21" s="228" t="s">
        <v>153</v>
      </c>
      <c r="C21" s="228"/>
      <c r="D21" s="229" t="s">
        <v>267</v>
      </c>
      <c r="E21" s="245" t="s">
        <v>268</v>
      </c>
      <c r="F21" s="229"/>
      <c r="G21" s="109" t="s">
        <v>205</v>
      </c>
      <c r="H21" s="229">
        <v>3</v>
      </c>
      <c r="I21" s="230"/>
      <c r="J21" s="228" t="s">
        <v>206</v>
      </c>
      <c r="K21" s="228" t="s">
        <v>665</v>
      </c>
      <c r="L21" s="228">
        <v>9</v>
      </c>
      <c r="M21" s="228" t="s">
        <v>16</v>
      </c>
      <c r="N21" s="110"/>
      <c r="O21" s="229" t="s">
        <v>269</v>
      </c>
      <c r="P21" s="110"/>
      <c r="Q21" s="110" t="s">
        <v>205</v>
      </c>
      <c r="R21" s="111"/>
      <c r="S21" s="111"/>
      <c r="T21" s="228" t="s">
        <v>209</v>
      </c>
      <c r="U21" s="228" t="s">
        <v>209</v>
      </c>
      <c r="V21" s="231"/>
      <c r="W21" s="232" t="s">
        <v>270</v>
      </c>
      <c r="X21" s="246"/>
      <c r="Y21" s="24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7"/>
      <c r="BV21" s="207"/>
      <c r="BW21" s="207"/>
      <c r="BX21" s="207"/>
      <c r="BY21" s="207"/>
      <c r="BZ21" s="207"/>
      <c r="CA21" s="207"/>
      <c r="CB21" s="208"/>
      <c r="CC21" s="208"/>
    </row>
    <row r="22" spans="1:81" ht="16.2" x14ac:dyDescent="0.45">
      <c r="A22" s="228">
        <f t="shared" si="0"/>
        <v>19</v>
      </c>
      <c r="B22" s="228" t="s">
        <v>228</v>
      </c>
      <c r="C22" s="228" t="s">
        <v>271</v>
      </c>
      <c r="D22" s="229" t="s">
        <v>272</v>
      </c>
      <c r="E22" s="229" t="s">
        <v>273</v>
      </c>
      <c r="F22" s="229"/>
      <c r="G22" s="109" t="s">
        <v>205</v>
      </c>
      <c r="H22" s="229">
        <v>35</v>
      </c>
      <c r="I22" s="230"/>
      <c r="J22" s="248" t="s">
        <v>274</v>
      </c>
      <c r="K22" s="248" t="s">
        <v>275</v>
      </c>
      <c r="L22" s="228">
        <v>10</v>
      </c>
      <c r="M22" s="228" t="s">
        <v>16</v>
      </c>
      <c r="N22" s="110"/>
      <c r="O22" s="229" t="s">
        <v>276</v>
      </c>
      <c r="P22" s="110"/>
      <c r="Q22" s="110" t="s">
        <v>205</v>
      </c>
      <c r="R22" s="111"/>
      <c r="S22" s="111"/>
      <c r="T22" s="228" t="s">
        <v>209</v>
      </c>
      <c r="U22" s="228" t="s">
        <v>209</v>
      </c>
      <c r="V22" s="231"/>
      <c r="W22" s="232" t="s">
        <v>277</v>
      </c>
      <c r="X22" s="234" t="s">
        <v>278</v>
      </c>
      <c r="Y22" s="225"/>
      <c r="Z22" s="249"/>
      <c r="AA22" s="249"/>
      <c r="AB22" s="249"/>
      <c r="AC22" s="249"/>
      <c r="AD22" s="249"/>
      <c r="AE22" s="249"/>
      <c r="AF22" s="249"/>
      <c r="AG22" s="249"/>
      <c r="AH22" s="249"/>
      <c r="AI22" s="249"/>
      <c r="AJ22" s="249"/>
      <c r="AK22" s="249"/>
      <c r="AL22" s="249"/>
      <c r="AM22" s="249"/>
      <c r="AN22" s="249"/>
      <c r="AO22" s="249"/>
      <c r="AP22" s="249"/>
      <c r="AQ22" s="249"/>
      <c r="AR22" s="249"/>
      <c r="AS22" s="249"/>
      <c r="AT22" s="249"/>
      <c r="AU22" s="249"/>
      <c r="AV22" s="249"/>
      <c r="AW22" s="249"/>
      <c r="AX22" s="249"/>
      <c r="AY22" s="249"/>
      <c r="AZ22" s="249"/>
      <c r="BA22" s="249"/>
      <c r="BB22" s="249"/>
      <c r="BC22" s="249"/>
      <c r="BD22" s="249"/>
      <c r="BE22" s="249"/>
      <c r="BF22" s="249"/>
      <c r="BG22" s="249"/>
      <c r="BH22" s="249"/>
      <c r="BI22" s="249"/>
      <c r="BJ22" s="249"/>
      <c r="BK22" s="249"/>
      <c r="BL22" s="249"/>
      <c r="BM22" s="249"/>
      <c r="BN22" s="249"/>
      <c r="BO22" s="249"/>
      <c r="BP22" s="249"/>
      <c r="BQ22" s="249"/>
      <c r="BR22" s="249"/>
      <c r="BS22" s="249"/>
      <c r="BT22" s="249"/>
      <c r="BU22" s="249"/>
      <c r="BV22" s="249"/>
      <c r="BW22" s="249"/>
      <c r="BX22" s="249"/>
      <c r="BY22" s="249"/>
      <c r="BZ22" s="249"/>
      <c r="CA22" s="249"/>
      <c r="CB22" s="244"/>
    </row>
    <row r="23" spans="1:81" ht="16.2" x14ac:dyDescent="0.45">
      <c r="A23" s="228">
        <f t="shared" si="0"/>
        <v>20</v>
      </c>
      <c r="B23" s="228" t="s">
        <v>279</v>
      </c>
      <c r="C23" s="228" t="s">
        <v>280</v>
      </c>
      <c r="D23" s="229" t="s">
        <v>281</v>
      </c>
      <c r="E23" s="158" t="s">
        <v>282</v>
      </c>
      <c r="F23" s="229"/>
      <c r="G23" s="109" t="s">
        <v>205</v>
      </c>
      <c r="H23" s="229">
        <v>10</v>
      </c>
      <c r="I23" s="230"/>
      <c r="J23" s="250" t="s">
        <v>283</v>
      </c>
      <c r="K23" s="185" t="s">
        <v>666</v>
      </c>
      <c r="L23" s="228">
        <v>11</v>
      </c>
      <c r="M23" s="228" t="s">
        <v>16</v>
      </c>
      <c r="N23" s="145"/>
      <c r="O23" s="229" t="s">
        <v>284</v>
      </c>
      <c r="P23" s="110"/>
      <c r="Q23" s="110" t="s">
        <v>205</v>
      </c>
      <c r="R23" s="111"/>
      <c r="S23" s="111"/>
      <c r="T23" s="228" t="s">
        <v>209</v>
      </c>
      <c r="U23" s="228" t="s">
        <v>209</v>
      </c>
      <c r="V23" s="231"/>
      <c r="W23" s="232" t="s">
        <v>285</v>
      </c>
      <c r="X23" s="246"/>
      <c r="Y23" s="225"/>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7"/>
      <c r="BV23" s="207"/>
      <c r="BW23" s="207"/>
      <c r="BX23" s="207"/>
      <c r="BY23" s="207"/>
      <c r="BZ23" s="207"/>
      <c r="CA23" s="207"/>
    </row>
    <row r="24" spans="1:81" s="208" customFormat="1" ht="16.2" x14ac:dyDescent="0.45">
      <c r="A24" s="228">
        <f t="shared" si="0"/>
        <v>21</v>
      </c>
      <c r="B24" s="228" t="s">
        <v>153</v>
      </c>
      <c r="C24" s="228" t="s">
        <v>211</v>
      </c>
      <c r="D24" s="251" t="s">
        <v>286</v>
      </c>
      <c r="E24" s="251" t="s">
        <v>287</v>
      </c>
      <c r="F24" s="251"/>
      <c r="G24" s="109" t="s">
        <v>205</v>
      </c>
      <c r="H24" s="251">
        <v>40</v>
      </c>
      <c r="I24" s="251"/>
      <c r="J24" s="183" t="s">
        <v>214</v>
      </c>
      <c r="K24" s="186" t="s">
        <v>288</v>
      </c>
      <c r="L24" s="228">
        <v>12</v>
      </c>
      <c r="M24" s="228" t="s">
        <v>16</v>
      </c>
      <c r="N24" s="251"/>
      <c r="O24" s="251" t="s">
        <v>289</v>
      </c>
      <c r="P24" s="251"/>
      <c r="Q24" s="110" t="s">
        <v>205</v>
      </c>
      <c r="R24" s="251"/>
      <c r="S24" s="251"/>
      <c r="T24" s="228" t="s">
        <v>209</v>
      </c>
      <c r="U24" s="228" t="s">
        <v>209</v>
      </c>
      <c r="V24" s="251"/>
      <c r="W24" s="115" t="s">
        <v>290</v>
      </c>
      <c r="X24" s="252"/>
      <c r="Y24" s="243"/>
      <c r="Z24" s="205"/>
      <c r="AA24" s="205"/>
      <c r="AB24" s="205"/>
      <c r="AC24" s="205"/>
      <c r="AD24" s="205"/>
      <c r="AE24" s="205"/>
      <c r="AF24" s="205"/>
      <c r="AG24" s="205"/>
      <c r="AH24" s="205"/>
      <c r="AI24" s="205"/>
      <c r="AJ24" s="205"/>
      <c r="AK24" s="205"/>
      <c r="AL24" s="205"/>
      <c r="AM24" s="205"/>
      <c r="AN24" s="205"/>
      <c r="AO24" s="205"/>
      <c r="AP24" s="205"/>
      <c r="AQ24" s="205"/>
      <c r="AR24" s="205"/>
      <c r="AS24" s="205"/>
      <c r="AT24" s="205"/>
      <c r="AU24" s="205"/>
      <c r="AV24" s="205"/>
      <c r="AW24" s="205"/>
      <c r="AX24" s="205"/>
      <c r="AY24" s="205"/>
      <c r="AZ24" s="205"/>
      <c r="BA24" s="205"/>
      <c r="BB24" s="205"/>
      <c r="BC24" s="205"/>
      <c r="BD24" s="205"/>
      <c r="BE24" s="205"/>
      <c r="BF24" s="205"/>
      <c r="BG24" s="205"/>
      <c r="BH24" s="205"/>
      <c r="BI24" s="205"/>
      <c r="BJ24" s="205"/>
      <c r="BK24" s="205"/>
      <c r="BL24" s="205"/>
      <c r="BM24" s="205"/>
      <c r="BN24" s="205"/>
      <c r="BO24" s="205"/>
      <c r="BP24" s="205"/>
      <c r="BQ24" s="205"/>
      <c r="BR24" s="205"/>
      <c r="BS24" s="205"/>
      <c r="BT24" s="205"/>
      <c r="BU24" s="205"/>
      <c r="BV24" s="205"/>
      <c r="BW24" s="205"/>
      <c r="BX24" s="205"/>
      <c r="BY24" s="205"/>
      <c r="BZ24" s="205"/>
      <c r="CA24" s="205"/>
      <c r="CB24" s="205"/>
      <c r="CC24" s="205"/>
    </row>
    <row r="25" spans="1:81" s="254" customFormat="1" ht="30" x14ac:dyDescent="0.45">
      <c r="A25" s="228">
        <f t="shared" si="0"/>
        <v>22</v>
      </c>
      <c r="B25" s="228" t="s">
        <v>291</v>
      </c>
      <c r="C25" s="228" t="s">
        <v>292</v>
      </c>
      <c r="D25" s="251" t="s">
        <v>293</v>
      </c>
      <c r="E25" s="251" t="s">
        <v>294</v>
      </c>
      <c r="F25" s="251"/>
      <c r="G25" s="109" t="s">
        <v>205</v>
      </c>
      <c r="H25" s="251">
        <v>35</v>
      </c>
      <c r="I25" s="251"/>
      <c r="J25" s="158" t="s">
        <v>295</v>
      </c>
      <c r="K25" s="253" t="s">
        <v>667</v>
      </c>
      <c r="L25" s="228">
        <v>13</v>
      </c>
      <c r="M25" s="228" t="s">
        <v>16</v>
      </c>
      <c r="N25" s="251"/>
      <c r="O25" s="251" t="s">
        <v>296</v>
      </c>
      <c r="P25" s="251"/>
      <c r="Q25" s="251"/>
      <c r="R25" s="251"/>
      <c r="S25" s="251"/>
      <c r="T25" s="251"/>
      <c r="U25" s="251"/>
      <c r="V25" s="251" t="s">
        <v>234</v>
      </c>
      <c r="W25" s="115" t="s">
        <v>297</v>
      </c>
      <c r="X25" s="116" t="s">
        <v>298</v>
      </c>
      <c r="AB25" s="112"/>
    </row>
    <row r="26" spans="1:81" s="254" customFormat="1" x14ac:dyDescent="0.45">
      <c r="A26" s="228">
        <f t="shared" si="0"/>
        <v>23</v>
      </c>
      <c r="B26" s="228" t="s">
        <v>279</v>
      </c>
      <c r="C26" s="228" t="s">
        <v>280</v>
      </c>
      <c r="D26" s="251" t="s">
        <v>299</v>
      </c>
      <c r="E26" s="251" t="s">
        <v>300</v>
      </c>
      <c r="F26" s="251"/>
      <c r="G26" s="109" t="s">
        <v>205</v>
      </c>
      <c r="H26" s="251"/>
      <c r="I26" s="251"/>
      <c r="J26" s="183" t="s">
        <v>283</v>
      </c>
      <c r="K26" s="186" t="s">
        <v>668</v>
      </c>
      <c r="L26" s="255"/>
      <c r="M26" s="228"/>
      <c r="N26" s="251"/>
      <c r="O26" s="251"/>
      <c r="P26" s="251"/>
      <c r="Q26" s="251"/>
      <c r="R26" s="251"/>
      <c r="S26" s="251"/>
      <c r="T26" s="251"/>
      <c r="U26" s="251"/>
      <c r="V26" s="231" t="s">
        <v>234</v>
      </c>
      <c r="W26" s="115"/>
      <c r="X26" s="114"/>
    </row>
    <row r="27" spans="1:81" s="254" customFormat="1" x14ac:dyDescent="0.45">
      <c r="A27" s="228">
        <f t="shared" si="0"/>
        <v>24</v>
      </c>
      <c r="B27" s="228" t="s">
        <v>153</v>
      </c>
      <c r="C27" s="228" t="s">
        <v>211</v>
      </c>
      <c r="D27" s="251" t="s">
        <v>286</v>
      </c>
      <c r="E27" s="251" t="s">
        <v>287</v>
      </c>
      <c r="F27" s="251"/>
      <c r="G27" s="109" t="s">
        <v>205</v>
      </c>
      <c r="H27" s="251">
        <v>40</v>
      </c>
      <c r="I27" s="251"/>
      <c r="J27" s="183" t="s">
        <v>214</v>
      </c>
      <c r="K27" s="186" t="s">
        <v>288</v>
      </c>
      <c r="L27" s="255"/>
      <c r="M27" s="228"/>
      <c r="N27" s="251"/>
      <c r="O27" s="251"/>
      <c r="P27" s="251"/>
      <c r="Q27" s="251"/>
      <c r="R27" s="251"/>
      <c r="S27" s="251"/>
      <c r="T27" s="251"/>
      <c r="U27" s="251"/>
      <c r="V27" s="231" t="s">
        <v>234</v>
      </c>
      <c r="W27" s="115"/>
      <c r="X27" s="114"/>
    </row>
    <row r="28" spans="1:81" ht="16.2" x14ac:dyDescent="0.45">
      <c r="A28" s="228">
        <f t="shared" si="0"/>
        <v>25</v>
      </c>
      <c r="B28" s="228" t="s">
        <v>153</v>
      </c>
      <c r="C28" s="228" t="s">
        <v>211</v>
      </c>
      <c r="D28" s="251" t="s">
        <v>301</v>
      </c>
      <c r="E28" s="251" t="s">
        <v>302</v>
      </c>
      <c r="F28" s="251"/>
      <c r="G28" s="109" t="s">
        <v>303</v>
      </c>
      <c r="H28" s="251">
        <v>13</v>
      </c>
      <c r="I28" s="251"/>
      <c r="J28" s="183" t="s">
        <v>214</v>
      </c>
      <c r="K28" s="186" t="s">
        <v>304</v>
      </c>
      <c r="L28" s="228">
        <v>14</v>
      </c>
      <c r="M28" s="228" t="s">
        <v>16</v>
      </c>
      <c r="N28" s="251"/>
      <c r="O28" s="251" t="s">
        <v>305</v>
      </c>
      <c r="P28" s="251"/>
      <c r="Q28" s="110" t="s">
        <v>303</v>
      </c>
      <c r="R28" s="251"/>
      <c r="S28" s="251"/>
      <c r="T28" s="228" t="s">
        <v>209</v>
      </c>
      <c r="U28" s="228" t="s">
        <v>209</v>
      </c>
      <c r="V28" s="251"/>
      <c r="W28" s="256" t="s">
        <v>306</v>
      </c>
      <c r="X28" s="252"/>
      <c r="Y28" s="239"/>
      <c r="Z28" s="254"/>
      <c r="AA28" s="254"/>
      <c r="AB28" s="254"/>
      <c r="AC28" s="254"/>
      <c r="AD28" s="254"/>
      <c r="AE28" s="254"/>
      <c r="AF28" s="254"/>
      <c r="AG28" s="254"/>
      <c r="AH28" s="254"/>
      <c r="AI28" s="254"/>
      <c r="AJ28" s="254"/>
      <c r="AK28" s="254"/>
      <c r="AL28" s="254"/>
      <c r="AM28" s="254"/>
      <c r="AN28" s="254"/>
      <c r="AO28" s="254"/>
      <c r="AP28" s="254"/>
      <c r="AQ28" s="254"/>
      <c r="AR28" s="254"/>
      <c r="AS28" s="254"/>
      <c r="AT28" s="254"/>
      <c r="AU28" s="254"/>
      <c r="AV28" s="254"/>
      <c r="AW28" s="254"/>
      <c r="AX28" s="254"/>
      <c r="AY28" s="254"/>
      <c r="AZ28" s="254"/>
      <c r="BA28" s="254"/>
      <c r="BB28" s="254"/>
      <c r="BC28" s="254"/>
      <c r="BD28" s="254"/>
      <c r="BE28" s="254"/>
      <c r="BF28" s="254"/>
      <c r="BG28" s="254"/>
      <c r="BH28" s="254"/>
      <c r="BI28" s="254"/>
      <c r="BJ28" s="254"/>
      <c r="BK28" s="254"/>
      <c r="BL28" s="254"/>
      <c r="BM28" s="254"/>
      <c r="BN28" s="254"/>
      <c r="BO28" s="254"/>
      <c r="BP28" s="254"/>
      <c r="BQ28" s="254"/>
      <c r="BR28" s="254"/>
      <c r="BS28" s="254"/>
      <c r="BT28" s="254"/>
      <c r="BU28" s="254"/>
      <c r="BV28" s="254"/>
      <c r="BW28" s="254"/>
      <c r="BX28" s="254"/>
      <c r="BY28" s="254"/>
      <c r="BZ28" s="254"/>
      <c r="CA28" s="254"/>
      <c r="CB28" s="254"/>
    </row>
    <row r="29" spans="1:81" ht="16.2" x14ac:dyDescent="0.45">
      <c r="A29" s="228">
        <f t="shared" si="0"/>
        <v>26</v>
      </c>
      <c r="B29" s="228" t="s">
        <v>153</v>
      </c>
      <c r="C29" s="228" t="s">
        <v>307</v>
      </c>
      <c r="D29" s="251" t="s">
        <v>58</v>
      </c>
      <c r="E29" s="251" t="s">
        <v>308</v>
      </c>
      <c r="F29" s="251"/>
      <c r="G29" s="109" t="s">
        <v>205</v>
      </c>
      <c r="H29" s="251">
        <v>20</v>
      </c>
      <c r="I29" s="251"/>
      <c r="J29" s="257" t="s">
        <v>309</v>
      </c>
      <c r="K29" s="257" t="s">
        <v>310</v>
      </c>
      <c r="L29" s="228">
        <v>15</v>
      </c>
      <c r="M29" s="228" t="s">
        <v>16</v>
      </c>
      <c r="N29" s="251"/>
      <c r="O29" s="251" t="s">
        <v>311</v>
      </c>
      <c r="P29" s="251"/>
      <c r="Q29" s="110" t="s">
        <v>205</v>
      </c>
      <c r="R29" s="251"/>
      <c r="S29" s="251"/>
      <c r="T29" s="228" t="s">
        <v>209</v>
      </c>
      <c r="U29" s="228" t="s">
        <v>209</v>
      </c>
      <c r="V29" s="251" t="s">
        <v>234</v>
      </c>
      <c r="W29" s="251" t="s">
        <v>312</v>
      </c>
      <c r="X29" s="234" t="s">
        <v>313</v>
      </c>
      <c r="Y29" s="243"/>
    </row>
    <row r="30" spans="1:81" ht="16.2" x14ac:dyDescent="0.45">
      <c r="A30" s="228">
        <f t="shared" si="0"/>
        <v>27</v>
      </c>
      <c r="B30" s="228" t="s">
        <v>153</v>
      </c>
      <c r="C30" s="228" t="s">
        <v>203</v>
      </c>
      <c r="D30" s="229" t="s">
        <v>314</v>
      </c>
      <c r="E30" s="229" t="s">
        <v>61</v>
      </c>
      <c r="F30" s="229"/>
      <c r="G30" s="109" t="s">
        <v>315</v>
      </c>
      <c r="H30" s="229">
        <v>8</v>
      </c>
      <c r="I30" s="230"/>
      <c r="J30" s="183" t="s">
        <v>206</v>
      </c>
      <c r="K30" s="257" t="s">
        <v>316</v>
      </c>
      <c r="L30" s="228">
        <v>16</v>
      </c>
      <c r="M30" s="228" t="s">
        <v>16</v>
      </c>
      <c r="N30" s="110"/>
      <c r="O30" s="229" t="s">
        <v>317</v>
      </c>
      <c r="P30" s="110"/>
      <c r="Q30" s="110" t="s">
        <v>205</v>
      </c>
      <c r="R30" s="111"/>
      <c r="S30" s="111"/>
      <c r="T30" s="228" t="s">
        <v>209</v>
      </c>
      <c r="U30" s="228" t="s">
        <v>209</v>
      </c>
      <c r="V30" s="231"/>
      <c r="W30" s="232" t="s">
        <v>318</v>
      </c>
      <c r="X30" s="234"/>
      <c r="Y30" s="243"/>
    </row>
    <row r="31" spans="1:81" ht="16.2" x14ac:dyDescent="0.45">
      <c r="A31" s="228">
        <f t="shared" si="0"/>
        <v>28</v>
      </c>
      <c r="B31" s="228" t="s">
        <v>153</v>
      </c>
      <c r="C31" s="228" t="s">
        <v>319</v>
      </c>
      <c r="D31" s="251" t="s">
        <v>320</v>
      </c>
      <c r="E31" s="251" t="s">
        <v>321</v>
      </c>
      <c r="F31" s="251"/>
      <c r="G31" s="109"/>
      <c r="H31" s="251"/>
      <c r="I31" s="251"/>
      <c r="J31" s="318" t="s">
        <v>859</v>
      </c>
      <c r="K31" s="318" t="s">
        <v>860</v>
      </c>
      <c r="L31" s="228">
        <v>17</v>
      </c>
      <c r="M31" s="228" t="s">
        <v>16</v>
      </c>
      <c r="N31" s="251"/>
      <c r="O31" s="251" t="s">
        <v>322</v>
      </c>
      <c r="P31" s="251"/>
      <c r="Q31" s="110" t="s">
        <v>205</v>
      </c>
      <c r="R31" s="251"/>
      <c r="S31" s="251"/>
      <c r="T31" s="228" t="s">
        <v>209</v>
      </c>
      <c r="U31" s="228" t="s">
        <v>209</v>
      </c>
      <c r="V31" s="251"/>
      <c r="W31" s="251" t="s">
        <v>323</v>
      </c>
      <c r="X31" s="319" t="s">
        <v>862</v>
      </c>
      <c r="Y31" s="254" t="s">
        <v>324</v>
      </c>
    </row>
    <row r="32" spans="1:81" ht="16.2" x14ac:dyDescent="0.45">
      <c r="A32" s="228">
        <f t="shared" si="0"/>
        <v>29</v>
      </c>
      <c r="B32" s="228" t="s">
        <v>153</v>
      </c>
      <c r="C32" s="228" t="s">
        <v>319</v>
      </c>
      <c r="D32" s="251" t="s">
        <v>325</v>
      </c>
      <c r="E32" s="251" t="s">
        <v>321</v>
      </c>
      <c r="F32" s="251"/>
      <c r="G32" s="109"/>
      <c r="H32" s="251"/>
      <c r="I32" s="251"/>
      <c r="J32" s="318" t="s">
        <v>861</v>
      </c>
      <c r="K32" s="318" t="s">
        <v>860</v>
      </c>
      <c r="L32" s="228"/>
      <c r="M32" s="228" t="s">
        <v>16</v>
      </c>
      <c r="N32" s="251"/>
      <c r="O32" s="251" t="s">
        <v>322</v>
      </c>
      <c r="P32" s="251"/>
      <c r="Q32" s="110" t="s">
        <v>205</v>
      </c>
      <c r="R32" s="251"/>
      <c r="S32" s="251"/>
      <c r="T32" s="228" t="s">
        <v>209</v>
      </c>
      <c r="U32" s="228" t="s">
        <v>209</v>
      </c>
      <c r="V32" s="251"/>
      <c r="W32" s="258" t="s">
        <v>326</v>
      </c>
      <c r="X32" s="319" t="s">
        <v>863</v>
      </c>
      <c r="Y32" s="254" t="s">
        <v>324</v>
      </c>
    </row>
    <row r="33" spans="1:80" ht="45" x14ac:dyDescent="0.45">
      <c r="A33" s="228">
        <f t="shared" si="0"/>
        <v>30</v>
      </c>
      <c r="B33" s="228" t="s">
        <v>153</v>
      </c>
      <c r="C33" s="228" t="s">
        <v>319</v>
      </c>
      <c r="D33" s="251" t="s">
        <v>325</v>
      </c>
      <c r="E33" s="251" t="s">
        <v>327</v>
      </c>
      <c r="F33" s="251"/>
      <c r="G33" s="109"/>
      <c r="H33" s="251"/>
      <c r="I33" s="251"/>
      <c r="J33" s="318" t="s">
        <v>861</v>
      </c>
      <c r="K33" s="318" t="s">
        <v>860</v>
      </c>
      <c r="L33" s="228">
        <v>18</v>
      </c>
      <c r="M33" s="228" t="s">
        <v>16</v>
      </c>
      <c r="N33" s="251"/>
      <c r="O33" s="251" t="s">
        <v>328</v>
      </c>
      <c r="P33" s="251"/>
      <c r="Q33" s="110" t="s">
        <v>205</v>
      </c>
      <c r="R33" s="251"/>
      <c r="S33" s="251"/>
      <c r="T33" s="228" t="s">
        <v>209</v>
      </c>
      <c r="U33" s="228" t="s">
        <v>209</v>
      </c>
      <c r="V33" s="251"/>
      <c r="W33" s="259" t="s">
        <v>329</v>
      </c>
      <c r="X33" s="320" t="s">
        <v>864</v>
      </c>
      <c r="Y33" s="243"/>
    </row>
    <row r="34" spans="1:80" ht="45" x14ac:dyDescent="0.45">
      <c r="A34" s="228">
        <f t="shared" si="0"/>
        <v>31</v>
      </c>
      <c r="B34" s="228" t="s">
        <v>228</v>
      </c>
      <c r="C34" s="228" t="s">
        <v>330</v>
      </c>
      <c r="D34" s="251" t="s">
        <v>331</v>
      </c>
      <c r="E34" s="251" t="s">
        <v>332</v>
      </c>
      <c r="F34" s="251"/>
      <c r="G34" s="109" t="s">
        <v>205</v>
      </c>
      <c r="H34" s="251">
        <v>12</v>
      </c>
      <c r="I34" s="251"/>
      <c r="J34" s="260" t="s">
        <v>669</v>
      </c>
      <c r="K34" s="257" t="s">
        <v>670</v>
      </c>
      <c r="L34" s="228">
        <v>19</v>
      </c>
      <c r="M34" s="228" t="s">
        <v>16</v>
      </c>
      <c r="N34" s="251"/>
      <c r="O34" s="251" t="s">
        <v>671</v>
      </c>
      <c r="P34" s="251"/>
      <c r="Q34" s="110" t="s">
        <v>205</v>
      </c>
      <c r="R34" s="251"/>
      <c r="S34" s="251"/>
      <c r="T34" s="228" t="s">
        <v>209</v>
      </c>
      <c r="U34" s="228" t="s">
        <v>209</v>
      </c>
      <c r="V34" s="251" t="s">
        <v>234</v>
      </c>
      <c r="W34" s="251" t="s">
        <v>335</v>
      </c>
      <c r="X34" s="246" t="s">
        <v>672</v>
      </c>
    </row>
    <row r="35" spans="1:80" ht="45" x14ac:dyDescent="0.45">
      <c r="A35" s="228">
        <f t="shared" si="0"/>
        <v>32</v>
      </c>
      <c r="B35" s="228" t="s">
        <v>228</v>
      </c>
      <c r="C35" s="228" t="s">
        <v>330</v>
      </c>
      <c r="D35" s="251" t="s">
        <v>331</v>
      </c>
      <c r="E35" s="251" t="s">
        <v>337</v>
      </c>
      <c r="F35" s="251"/>
      <c r="G35" s="109" t="s">
        <v>205</v>
      </c>
      <c r="H35" s="251">
        <v>12</v>
      </c>
      <c r="I35" s="251"/>
      <c r="J35" s="260" t="s">
        <v>669</v>
      </c>
      <c r="K35" s="257" t="s">
        <v>673</v>
      </c>
      <c r="L35" s="228"/>
      <c r="M35" s="228"/>
      <c r="N35" s="251"/>
      <c r="O35" s="251"/>
      <c r="P35" s="251"/>
      <c r="Q35" s="110"/>
      <c r="R35" s="251"/>
      <c r="S35" s="251"/>
      <c r="T35" s="228"/>
      <c r="U35" s="228"/>
      <c r="V35" s="251" t="s">
        <v>234</v>
      </c>
      <c r="W35" s="251"/>
      <c r="X35" s="246" t="s">
        <v>336</v>
      </c>
    </row>
    <row r="36" spans="1:80" ht="30" x14ac:dyDescent="0.45">
      <c r="A36" s="228">
        <f t="shared" si="0"/>
        <v>33</v>
      </c>
      <c r="B36" s="228" t="s">
        <v>338</v>
      </c>
      <c r="C36" s="228" t="s">
        <v>238</v>
      </c>
      <c r="D36" s="251" t="s">
        <v>204</v>
      </c>
      <c r="E36" s="251" t="s">
        <v>339</v>
      </c>
      <c r="F36" s="251"/>
      <c r="G36" s="109" t="s">
        <v>205</v>
      </c>
      <c r="H36" s="251">
        <v>18</v>
      </c>
      <c r="I36" s="251"/>
      <c r="J36" s="257" t="s">
        <v>340</v>
      </c>
      <c r="K36" s="257" t="s">
        <v>341</v>
      </c>
      <c r="L36" s="228"/>
      <c r="M36" s="228"/>
      <c r="N36" s="251"/>
      <c r="O36" s="251"/>
      <c r="P36" s="251"/>
      <c r="Q36" s="110"/>
      <c r="R36" s="251"/>
      <c r="S36" s="251"/>
      <c r="T36" s="228" t="s">
        <v>209</v>
      </c>
      <c r="U36" s="228" t="s">
        <v>209</v>
      </c>
      <c r="V36" s="251" t="s">
        <v>234</v>
      </c>
      <c r="W36" s="251" t="s">
        <v>342</v>
      </c>
      <c r="X36" s="246" t="s">
        <v>242</v>
      </c>
    </row>
    <row r="37" spans="1:80" x14ac:dyDescent="0.45">
      <c r="A37" s="262"/>
      <c r="B37" s="262"/>
      <c r="C37" s="262"/>
      <c r="D37" s="263"/>
      <c r="E37" s="263"/>
      <c r="F37" s="263"/>
      <c r="G37" s="263"/>
      <c r="H37" s="263"/>
      <c r="I37" s="263"/>
      <c r="J37" s="263"/>
      <c r="K37" s="263"/>
      <c r="L37" s="264"/>
      <c r="M37" s="262"/>
      <c r="N37" s="263"/>
      <c r="O37" s="263"/>
      <c r="P37" s="263"/>
      <c r="Q37" s="263"/>
      <c r="R37" s="263"/>
      <c r="S37" s="263"/>
      <c r="T37" s="263"/>
      <c r="U37" s="263"/>
      <c r="V37" s="263"/>
      <c r="W37" s="263"/>
      <c r="X37" s="263"/>
    </row>
    <row r="38" spans="1:80" ht="16.2" x14ac:dyDescent="0.45">
      <c r="A38" s="262"/>
      <c r="B38" s="262" t="s">
        <v>343</v>
      </c>
      <c r="C38" s="262"/>
      <c r="D38" s="265"/>
      <c r="E38" s="265"/>
      <c r="F38" s="147"/>
      <c r="G38" s="147"/>
      <c r="H38" s="265"/>
      <c r="I38" s="266"/>
      <c r="J38" s="262"/>
      <c r="K38" s="262"/>
      <c r="L38" s="262"/>
      <c r="M38" s="262"/>
      <c r="N38" s="148"/>
      <c r="O38" s="148"/>
      <c r="P38" s="148"/>
      <c r="Q38" s="148"/>
      <c r="R38" s="149"/>
      <c r="S38" s="149"/>
      <c r="T38" s="150"/>
      <c r="U38" s="150"/>
      <c r="V38" s="267"/>
      <c r="W38" s="268"/>
      <c r="X38" s="267"/>
    </row>
    <row r="39" spans="1:80" ht="45" x14ac:dyDescent="0.45">
      <c r="A39" s="269">
        <f>ROW()-34</f>
        <v>5</v>
      </c>
      <c r="B39" s="270" t="s">
        <v>153</v>
      </c>
      <c r="C39" s="270" t="s">
        <v>211</v>
      </c>
      <c r="D39" s="271" t="s">
        <v>58</v>
      </c>
      <c r="E39" s="271" t="s">
        <v>344</v>
      </c>
      <c r="F39" s="271"/>
      <c r="G39" s="117" t="s">
        <v>205</v>
      </c>
      <c r="H39" s="271">
        <v>9</v>
      </c>
      <c r="I39" s="272"/>
      <c r="J39" s="158" t="s">
        <v>214</v>
      </c>
      <c r="K39" s="182" t="s">
        <v>345</v>
      </c>
      <c r="L39" s="270"/>
      <c r="M39" s="270"/>
      <c r="N39" s="271"/>
      <c r="O39" s="271"/>
      <c r="P39" s="271"/>
      <c r="Q39" s="117"/>
      <c r="R39" s="271"/>
      <c r="S39" s="118"/>
      <c r="T39" s="228" t="s">
        <v>209</v>
      </c>
      <c r="U39" s="228" t="s">
        <v>209</v>
      </c>
      <c r="V39" s="273"/>
      <c r="W39" s="274"/>
      <c r="X39" s="275" t="s">
        <v>346</v>
      </c>
      <c r="Y39" s="254"/>
      <c r="Z39" s="254"/>
      <c r="AA39" s="254"/>
      <c r="AB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row>
    <row r="40" spans="1:80" ht="16.2" x14ac:dyDescent="0.45">
      <c r="A40" s="269">
        <f t="shared" ref="A40:A51" si="1">ROW()-34</f>
        <v>6</v>
      </c>
      <c r="B40" s="270" t="s">
        <v>153</v>
      </c>
      <c r="C40" s="270" t="s">
        <v>203</v>
      </c>
      <c r="D40" s="271" t="s">
        <v>347</v>
      </c>
      <c r="E40" s="271" t="s">
        <v>348</v>
      </c>
      <c r="F40" s="271"/>
      <c r="G40" s="117" t="s">
        <v>205</v>
      </c>
      <c r="H40" s="271">
        <v>9</v>
      </c>
      <c r="I40" s="272"/>
      <c r="J40" s="183" t="s">
        <v>206</v>
      </c>
      <c r="K40" s="182" t="s">
        <v>349</v>
      </c>
      <c r="L40" s="270"/>
      <c r="M40" s="270"/>
      <c r="N40" s="271"/>
      <c r="O40" s="271"/>
      <c r="P40" s="271"/>
      <c r="Q40" s="117"/>
      <c r="R40" s="271"/>
      <c r="S40" s="118"/>
      <c r="T40" s="228" t="s">
        <v>209</v>
      </c>
      <c r="U40" s="228" t="s">
        <v>209</v>
      </c>
      <c r="V40" s="273"/>
      <c r="W40" s="274"/>
      <c r="X40" s="275" t="s">
        <v>350</v>
      </c>
      <c r="Y40" s="254"/>
      <c r="Z40" s="254"/>
      <c r="AA40" s="254"/>
      <c r="AB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row>
    <row r="41" spans="1:80" ht="30" x14ac:dyDescent="0.45">
      <c r="A41" s="269">
        <f t="shared" si="1"/>
        <v>7</v>
      </c>
      <c r="B41" s="270" t="s">
        <v>153</v>
      </c>
      <c r="C41" s="270" t="s">
        <v>211</v>
      </c>
      <c r="D41" s="271" t="s">
        <v>58</v>
      </c>
      <c r="E41" s="271" t="s">
        <v>351</v>
      </c>
      <c r="F41" s="271"/>
      <c r="G41" s="117" t="s">
        <v>205</v>
      </c>
      <c r="H41" s="271">
        <v>9</v>
      </c>
      <c r="I41" s="272"/>
      <c r="J41" s="183" t="s">
        <v>214</v>
      </c>
      <c r="K41" s="182" t="s">
        <v>352</v>
      </c>
      <c r="L41" s="270"/>
      <c r="M41" s="270"/>
      <c r="N41" s="271"/>
      <c r="O41" s="271"/>
      <c r="P41" s="271"/>
      <c r="Q41" s="117"/>
      <c r="R41" s="271"/>
      <c r="S41" s="118"/>
      <c r="T41" s="228" t="s">
        <v>209</v>
      </c>
      <c r="U41" s="228" t="s">
        <v>209</v>
      </c>
      <c r="V41" s="273"/>
      <c r="W41" s="274"/>
      <c r="X41" s="275" t="s">
        <v>353</v>
      </c>
      <c r="Y41" s="254"/>
      <c r="Z41" s="254"/>
      <c r="AA41" s="254"/>
      <c r="AB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row>
    <row r="42" spans="1:80" ht="45" x14ac:dyDescent="0.45">
      <c r="A42" s="269">
        <f t="shared" si="1"/>
        <v>8</v>
      </c>
      <c r="B42" s="276" t="s">
        <v>153</v>
      </c>
      <c r="C42" s="276" t="s">
        <v>354</v>
      </c>
      <c r="D42" s="277" t="s">
        <v>355</v>
      </c>
      <c r="E42" s="277" t="s">
        <v>356</v>
      </c>
      <c r="F42" s="229"/>
      <c r="G42" s="109" t="s">
        <v>205</v>
      </c>
      <c r="H42" s="229">
        <v>3</v>
      </c>
      <c r="I42" s="230"/>
      <c r="J42" s="278" t="s">
        <v>674</v>
      </c>
      <c r="K42" s="279" t="s">
        <v>357</v>
      </c>
      <c r="L42" s="269">
        <v>5</v>
      </c>
      <c r="M42" s="269" t="s">
        <v>16</v>
      </c>
      <c r="N42" s="110"/>
      <c r="O42" s="280" t="s">
        <v>251</v>
      </c>
      <c r="P42" s="110"/>
      <c r="Q42" s="110"/>
      <c r="R42" s="111"/>
      <c r="S42" s="111"/>
      <c r="T42" s="228" t="s">
        <v>209</v>
      </c>
      <c r="U42" s="228" t="s">
        <v>209</v>
      </c>
      <c r="V42" s="231" t="s">
        <v>234</v>
      </c>
      <c r="W42" s="232" t="s">
        <v>252</v>
      </c>
      <c r="X42" s="281" t="s">
        <v>358</v>
      </c>
    </row>
    <row r="43" spans="1:80" ht="45" x14ac:dyDescent="0.45">
      <c r="A43" s="269">
        <f t="shared" si="1"/>
        <v>9</v>
      </c>
      <c r="B43" s="276" t="s">
        <v>256</v>
      </c>
      <c r="C43" s="276" t="s">
        <v>354</v>
      </c>
      <c r="D43" s="277" t="s">
        <v>359</v>
      </c>
      <c r="E43" s="277" t="s">
        <v>360</v>
      </c>
      <c r="F43" s="229"/>
      <c r="G43" s="109" t="s">
        <v>205</v>
      </c>
      <c r="H43" s="229">
        <v>6</v>
      </c>
      <c r="I43" s="230"/>
      <c r="J43" s="278" t="s">
        <v>674</v>
      </c>
      <c r="K43" s="279" t="s">
        <v>361</v>
      </c>
      <c r="L43" s="269">
        <v>5</v>
      </c>
      <c r="M43" s="269" t="s">
        <v>16</v>
      </c>
      <c r="N43" s="110"/>
      <c r="O43" s="229" t="s">
        <v>251</v>
      </c>
      <c r="P43" s="110"/>
      <c r="Q43" s="110"/>
      <c r="R43" s="111"/>
      <c r="S43" s="111"/>
      <c r="T43" s="228" t="s">
        <v>209</v>
      </c>
      <c r="U43" s="228" t="s">
        <v>209</v>
      </c>
      <c r="V43" s="231" t="s">
        <v>234</v>
      </c>
      <c r="W43" s="232" t="s">
        <v>252</v>
      </c>
      <c r="X43" s="281" t="s">
        <v>358</v>
      </c>
    </row>
    <row r="44" spans="1:80" ht="16.2" x14ac:dyDescent="0.45">
      <c r="A44" s="269">
        <f t="shared" si="1"/>
        <v>10</v>
      </c>
      <c r="B44" s="119" t="s">
        <v>153</v>
      </c>
      <c r="C44" s="119" t="s">
        <v>203</v>
      </c>
      <c r="D44" s="115" t="s">
        <v>204</v>
      </c>
      <c r="E44" s="115" t="s">
        <v>362</v>
      </c>
      <c r="F44" s="113"/>
      <c r="G44" s="115" t="s">
        <v>205</v>
      </c>
      <c r="H44" s="115">
        <v>4</v>
      </c>
      <c r="I44" s="120"/>
      <c r="J44" s="183" t="s">
        <v>206</v>
      </c>
      <c r="K44" s="182" t="s">
        <v>363</v>
      </c>
      <c r="L44" s="269"/>
      <c r="M44" s="269"/>
      <c r="N44" s="110"/>
      <c r="O44" s="229"/>
      <c r="P44" s="110"/>
      <c r="Q44" s="110"/>
      <c r="R44" s="111"/>
      <c r="S44" s="111"/>
      <c r="T44" s="228" t="s">
        <v>209</v>
      </c>
      <c r="U44" s="228" t="s">
        <v>209</v>
      </c>
      <c r="V44" s="231"/>
      <c r="W44" s="282"/>
      <c r="X44" s="283" t="s">
        <v>364</v>
      </c>
    </row>
    <row r="45" spans="1:80" ht="30" x14ac:dyDescent="0.45">
      <c r="A45" s="269">
        <f t="shared" si="1"/>
        <v>11</v>
      </c>
      <c r="B45" s="119" t="s">
        <v>153</v>
      </c>
      <c r="C45" s="119" t="s">
        <v>203</v>
      </c>
      <c r="D45" s="115" t="s">
        <v>204</v>
      </c>
      <c r="E45" s="115" t="s">
        <v>99</v>
      </c>
      <c r="F45" s="113"/>
      <c r="G45" s="115" t="s">
        <v>205</v>
      </c>
      <c r="H45" s="115">
        <v>4</v>
      </c>
      <c r="I45" s="120"/>
      <c r="J45" s="183" t="s">
        <v>206</v>
      </c>
      <c r="K45" s="182" t="s">
        <v>365</v>
      </c>
      <c r="L45" s="228">
        <v>3</v>
      </c>
      <c r="M45" s="269" t="s">
        <v>16</v>
      </c>
      <c r="N45" s="110"/>
      <c r="O45" s="229" t="s">
        <v>233</v>
      </c>
      <c r="P45" s="110"/>
      <c r="Q45" s="110"/>
      <c r="R45" s="111"/>
      <c r="S45" s="111"/>
      <c r="T45" s="228" t="s">
        <v>209</v>
      </c>
      <c r="U45" s="228" t="s">
        <v>209</v>
      </c>
      <c r="V45" s="231" t="s">
        <v>234</v>
      </c>
      <c r="W45" s="232" t="s">
        <v>235</v>
      </c>
      <c r="X45" s="283" t="s">
        <v>366</v>
      </c>
    </row>
    <row r="46" spans="1:80" ht="45" x14ac:dyDescent="0.45">
      <c r="A46" s="269">
        <f t="shared" si="1"/>
        <v>12</v>
      </c>
      <c r="B46" s="119" t="s">
        <v>228</v>
      </c>
      <c r="C46" s="119" t="s">
        <v>367</v>
      </c>
      <c r="D46" s="115" t="s">
        <v>204</v>
      </c>
      <c r="E46" s="115" t="s">
        <v>99</v>
      </c>
      <c r="F46" s="113"/>
      <c r="G46" s="115" t="s">
        <v>205</v>
      </c>
      <c r="H46" s="115">
        <v>4</v>
      </c>
      <c r="I46" s="120"/>
      <c r="J46" s="182" t="s">
        <v>274</v>
      </c>
      <c r="K46" s="182" t="s">
        <v>368</v>
      </c>
      <c r="L46" s="228">
        <v>3</v>
      </c>
      <c r="M46" s="269" t="s">
        <v>16</v>
      </c>
      <c r="N46" s="110"/>
      <c r="O46" s="229" t="s">
        <v>233</v>
      </c>
      <c r="P46" s="110"/>
      <c r="Q46" s="110"/>
      <c r="R46" s="111"/>
      <c r="S46" s="111"/>
      <c r="T46" s="228" t="s">
        <v>209</v>
      </c>
      <c r="U46" s="228" t="s">
        <v>209</v>
      </c>
      <c r="V46" s="231" t="s">
        <v>234</v>
      </c>
      <c r="W46" s="232" t="s">
        <v>235</v>
      </c>
      <c r="X46" s="283" t="s">
        <v>369</v>
      </c>
    </row>
    <row r="47" spans="1:80" ht="45" x14ac:dyDescent="0.45">
      <c r="A47" s="269">
        <f t="shared" si="1"/>
        <v>13</v>
      </c>
      <c r="B47" s="119" t="s">
        <v>237</v>
      </c>
      <c r="C47" s="119" t="s">
        <v>370</v>
      </c>
      <c r="D47" s="115" t="s">
        <v>204</v>
      </c>
      <c r="E47" s="115" t="s">
        <v>99</v>
      </c>
      <c r="F47" s="113"/>
      <c r="G47" s="115" t="s">
        <v>205</v>
      </c>
      <c r="H47" s="115">
        <v>4</v>
      </c>
      <c r="I47" s="120"/>
      <c r="J47" s="182" t="s">
        <v>371</v>
      </c>
      <c r="K47" s="182" t="s">
        <v>372</v>
      </c>
      <c r="L47" s="228">
        <v>3</v>
      </c>
      <c r="M47" s="269" t="s">
        <v>16</v>
      </c>
      <c r="N47" s="110"/>
      <c r="O47" s="229" t="s">
        <v>233</v>
      </c>
      <c r="P47" s="110"/>
      <c r="Q47" s="110"/>
      <c r="R47" s="111"/>
      <c r="S47" s="111"/>
      <c r="T47" s="228" t="s">
        <v>209</v>
      </c>
      <c r="U47" s="228" t="s">
        <v>209</v>
      </c>
      <c r="V47" s="231" t="s">
        <v>234</v>
      </c>
      <c r="W47" s="232" t="s">
        <v>241</v>
      </c>
      <c r="X47" s="284" t="s">
        <v>373</v>
      </c>
    </row>
    <row r="48" spans="1:80" ht="16.2" x14ac:dyDescent="0.45">
      <c r="A48" s="269">
        <f t="shared" si="1"/>
        <v>14</v>
      </c>
      <c r="B48" s="228" t="s">
        <v>153</v>
      </c>
      <c r="C48" s="228" t="s">
        <v>211</v>
      </c>
      <c r="D48" s="251" t="s">
        <v>58</v>
      </c>
      <c r="E48" s="251" t="s">
        <v>308</v>
      </c>
      <c r="F48" s="251"/>
      <c r="G48" s="109" t="s">
        <v>205</v>
      </c>
      <c r="H48" s="251">
        <v>3</v>
      </c>
      <c r="I48" s="251"/>
      <c r="J48" s="182" t="s">
        <v>214</v>
      </c>
      <c r="K48" s="182" t="s">
        <v>374</v>
      </c>
      <c r="L48" s="228">
        <v>15</v>
      </c>
      <c r="M48" s="228" t="s">
        <v>16</v>
      </c>
      <c r="N48" s="251"/>
      <c r="O48" s="251" t="s">
        <v>311</v>
      </c>
      <c r="P48" s="251"/>
      <c r="Q48" s="110"/>
      <c r="R48" s="251"/>
      <c r="S48" s="251"/>
      <c r="T48" s="228" t="s">
        <v>209</v>
      </c>
      <c r="U48" s="228" t="s">
        <v>209</v>
      </c>
      <c r="V48" s="251"/>
      <c r="W48" s="251"/>
      <c r="X48" s="234" t="s">
        <v>313</v>
      </c>
    </row>
    <row r="49" spans="1:24" ht="75" x14ac:dyDescent="0.45">
      <c r="A49" s="269">
        <f t="shared" si="1"/>
        <v>15</v>
      </c>
      <c r="B49" s="228" t="s">
        <v>228</v>
      </c>
      <c r="C49" s="228" t="s">
        <v>367</v>
      </c>
      <c r="D49" s="251" t="s">
        <v>331</v>
      </c>
      <c r="E49" s="251" t="s">
        <v>375</v>
      </c>
      <c r="F49" s="251"/>
      <c r="G49" s="109" t="s">
        <v>205</v>
      </c>
      <c r="H49" s="251">
        <v>12</v>
      </c>
      <c r="I49" s="251"/>
      <c r="J49" s="152" t="s">
        <v>274</v>
      </c>
      <c r="K49" s="152" t="s">
        <v>675</v>
      </c>
      <c r="L49" s="228">
        <v>19</v>
      </c>
      <c r="M49" s="228" t="s">
        <v>16</v>
      </c>
      <c r="N49" s="251"/>
      <c r="O49" s="251" t="s">
        <v>334</v>
      </c>
      <c r="P49" s="251"/>
      <c r="Q49" s="110"/>
      <c r="R49" s="251"/>
      <c r="S49" s="251"/>
      <c r="T49" s="228" t="s">
        <v>209</v>
      </c>
      <c r="U49" s="228" t="s">
        <v>209</v>
      </c>
      <c r="V49" s="251" t="s">
        <v>234</v>
      </c>
      <c r="W49" s="251"/>
      <c r="X49" s="246" t="s">
        <v>376</v>
      </c>
    </row>
    <row r="50" spans="1:24" ht="75" x14ac:dyDescent="0.45">
      <c r="A50" s="269">
        <f t="shared" si="1"/>
        <v>16</v>
      </c>
      <c r="B50" s="228" t="s">
        <v>228</v>
      </c>
      <c r="C50" s="228" t="s">
        <v>377</v>
      </c>
      <c r="D50" s="251" t="s">
        <v>331</v>
      </c>
      <c r="E50" s="251" t="s">
        <v>378</v>
      </c>
      <c r="F50" s="251"/>
      <c r="G50" s="109" t="s">
        <v>205</v>
      </c>
      <c r="H50" s="251">
        <v>12</v>
      </c>
      <c r="I50" s="251"/>
      <c r="J50" s="260" t="s">
        <v>333</v>
      </c>
      <c r="K50" s="182" t="s">
        <v>209</v>
      </c>
      <c r="L50" s="228">
        <v>19</v>
      </c>
      <c r="M50" s="228" t="s">
        <v>16</v>
      </c>
      <c r="N50" s="251"/>
      <c r="O50" s="251" t="s">
        <v>334</v>
      </c>
      <c r="P50" s="251"/>
      <c r="Q50" s="110"/>
      <c r="R50" s="251"/>
      <c r="S50" s="251"/>
      <c r="T50" s="228" t="s">
        <v>209</v>
      </c>
      <c r="U50" s="228" t="s">
        <v>209</v>
      </c>
      <c r="V50" s="251" t="s">
        <v>234</v>
      </c>
      <c r="W50" s="251"/>
      <c r="X50" s="246" t="s">
        <v>376</v>
      </c>
    </row>
    <row r="51" spans="1:24" ht="45" x14ac:dyDescent="0.45">
      <c r="A51" s="269">
        <f t="shared" si="1"/>
        <v>17</v>
      </c>
      <c r="B51" s="228" t="s">
        <v>338</v>
      </c>
      <c r="C51" s="228" t="s">
        <v>370</v>
      </c>
      <c r="D51" s="251" t="s">
        <v>204</v>
      </c>
      <c r="E51" s="251" t="s">
        <v>379</v>
      </c>
      <c r="F51" s="251"/>
      <c r="G51" s="109" t="s">
        <v>205</v>
      </c>
      <c r="H51" s="251">
        <v>3</v>
      </c>
      <c r="I51" s="251"/>
      <c r="J51" s="182" t="s">
        <v>371</v>
      </c>
      <c r="K51" s="182" t="s">
        <v>380</v>
      </c>
      <c r="L51" s="228">
        <v>19</v>
      </c>
      <c r="M51" s="228" t="s">
        <v>16</v>
      </c>
      <c r="N51" s="251"/>
      <c r="O51" s="251" t="s">
        <v>334</v>
      </c>
      <c r="P51" s="251"/>
      <c r="Q51" s="110"/>
      <c r="R51" s="251"/>
      <c r="S51" s="251"/>
      <c r="T51" s="228" t="s">
        <v>209</v>
      </c>
      <c r="U51" s="228" t="s">
        <v>209</v>
      </c>
      <c r="V51" s="251" t="s">
        <v>234</v>
      </c>
      <c r="W51" s="251"/>
      <c r="X51" s="246" t="s">
        <v>381</v>
      </c>
    </row>
    <row r="52" spans="1:24" x14ac:dyDescent="0.45">
      <c r="A52" s="228"/>
      <c r="B52" s="228"/>
      <c r="C52" s="228"/>
      <c r="D52" s="251"/>
      <c r="E52" s="251"/>
      <c r="F52" s="251"/>
      <c r="G52" s="251"/>
      <c r="H52" s="251"/>
      <c r="I52" s="251"/>
      <c r="J52" s="251"/>
      <c r="K52" s="251"/>
      <c r="L52" s="285"/>
      <c r="M52" s="228"/>
      <c r="N52" s="251"/>
      <c r="O52" s="251"/>
      <c r="P52" s="251"/>
      <c r="Q52" s="251"/>
      <c r="R52" s="251"/>
      <c r="S52" s="251"/>
      <c r="T52" s="251"/>
      <c r="U52" s="251"/>
      <c r="V52" s="251"/>
      <c r="W52" s="251"/>
      <c r="X52" s="258"/>
    </row>
    <row r="53" spans="1:24" x14ac:dyDescent="0.45">
      <c r="A53" s="219"/>
      <c r="B53" s="219"/>
      <c r="C53" s="219"/>
      <c r="D53" s="286"/>
      <c r="E53" s="286"/>
      <c r="F53" s="286"/>
      <c r="G53" s="286"/>
      <c r="H53" s="286"/>
      <c r="I53" s="286"/>
      <c r="J53" s="286"/>
      <c r="K53" s="286"/>
      <c r="L53" s="287"/>
      <c r="M53" s="219"/>
      <c r="N53" s="286"/>
      <c r="O53" s="286"/>
      <c r="P53" s="288"/>
      <c r="Q53" s="288"/>
      <c r="R53" s="288"/>
      <c r="S53" s="288"/>
      <c r="T53" s="286"/>
      <c r="U53" s="286"/>
      <c r="V53" s="286"/>
      <c r="W53" s="286"/>
      <c r="X53" s="289"/>
    </row>
    <row r="54" spans="1:24" x14ac:dyDescent="0.45">
      <c r="A54" s="219"/>
      <c r="B54" s="219"/>
      <c r="C54" s="219"/>
      <c r="D54" s="286"/>
      <c r="E54" s="286"/>
      <c r="F54" s="286"/>
      <c r="G54" s="286"/>
      <c r="H54" s="286"/>
      <c r="I54" s="286"/>
      <c r="J54" s="286"/>
      <c r="K54" s="286"/>
      <c r="L54" s="287"/>
      <c r="M54" s="219"/>
      <c r="N54" s="286"/>
      <c r="O54" s="286"/>
      <c r="P54" s="288"/>
      <c r="Q54" s="288"/>
      <c r="R54" s="288"/>
      <c r="S54" s="288"/>
      <c r="T54" s="286"/>
      <c r="U54" s="286"/>
      <c r="V54" s="286"/>
      <c r="W54" s="286"/>
      <c r="X54" s="289"/>
    </row>
    <row r="55" spans="1:24" x14ac:dyDescent="0.45">
      <c r="A55" s="219"/>
      <c r="B55" s="219"/>
      <c r="C55" s="219"/>
      <c r="D55" s="286"/>
      <c r="E55" s="286"/>
      <c r="F55" s="286"/>
      <c r="G55" s="286"/>
      <c r="H55" s="286"/>
      <c r="I55" s="286"/>
      <c r="J55" s="286"/>
      <c r="K55" s="286"/>
      <c r="L55" s="287"/>
      <c r="M55" s="219"/>
      <c r="N55" s="286"/>
      <c r="O55" s="286"/>
      <c r="P55" s="288"/>
      <c r="Q55" s="288"/>
      <c r="R55" s="288"/>
      <c r="S55" s="288"/>
      <c r="T55" s="286"/>
      <c r="U55" s="286"/>
      <c r="V55" s="286"/>
      <c r="W55" s="286"/>
      <c r="X55" s="289"/>
    </row>
    <row r="56" spans="1:24" x14ac:dyDescent="0.45">
      <c r="A56" s="219"/>
      <c r="B56" s="219"/>
      <c r="C56" s="219"/>
      <c r="D56" s="286"/>
      <c r="E56" s="286"/>
      <c r="F56" s="286"/>
      <c r="G56" s="286"/>
      <c r="H56" s="286"/>
      <c r="I56" s="286"/>
      <c r="J56" s="286"/>
      <c r="K56" s="286"/>
      <c r="L56" s="287"/>
      <c r="M56" s="219"/>
      <c r="N56" s="286"/>
      <c r="O56" s="286"/>
      <c r="P56" s="288"/>
      <c r="Q56" s="288"/>
      <c r="R56" s="288"/>
      <c r="S56" s="288"/>
      <c r="T56" s="286"/>
      <c r="U56" s="286"/>
      <c r="V56" s="286"/>
      <c r="W56" s="286"/>
      <c r="X56" s="289"/>
    </row>
  </sheetData>
  <mergeCells count="19">
    <mergeCell ref="V1:W1"/>
    <mergeCell ref="X1:X3"/>
    <mergeCell ref="Y1:Y3"/>
    <mergeCell ref="A2:A3"/>
    <mergeCell ref="B2:B3"/>
    <mergeCell ref="D2:D3"/>
    <mergeCell ref="E2:E3"/>
    <mergeCell ref="F2:I2"/>
    <mergeCell ref="T2:U2"/>
    <mergeCell ref="V2:V3"/>
    <mergeCell ref="W2:W3"/>
    <mergeCell ref="J2:K2"/>
    <mergeCell ref="L2:L3"/>
    <mergeCell ref="M2:M3"/>
    <mergeCell ref="N2:N3"/>
    <mergeCell ref="O2:O3"/>
    <mergeCell ref="P2:S2"/>
    <mergeCell ref="A1:K1"/>
    <mergeCell ref="L1:U1"/>
  </mergeCells>
  <phoneticPr fontId="10"/>
  <dataValidations count="1">
    <dataValidation type="list" allowBlank="1" showInputMessage="1" showErrorMessage="1" sqref="F48 P38:P48 F38:F43 P4:P33 F5:F33" xr:uid="{CFFEEB16-0C03-4CD7-831B-F8D0942ADA7D}">
      <formula1>"X"</formula1>
    </dataValidation>
  </dataValidation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ED731-FEA2-4849-9DCE-C5705B1AD691}">
  <sheetPr codeName="Sheet5"/>
  <dimension ref="A1:CG128"/>
  <sheetViews>
    <sheetView showGridLines="0" view="pageBreakPreview" zoomScale="80" zoomScaleNormal="85" zoomScaleSheetLayoutView="80" workbookViewId="0">
      <selection sqref="A1:BK1"/>
    </sheetView>
  </sheetViews>
  <sheetFormatPr defaultColWidth="2.6328125" defaultRowHeight="15" customHeight="1" x14ac:dyDescent="0.45"/>
  <cols>
    <col min="1" max="7" width="2.6328125" style="56"/>
    <col min="8" max="8" width="3.26953125" style="56" bestFit="1" customWidth="1"/>
    <col min="9" max="16" width="2.6328125" style="56"/>
    <col min="17" max="17" width="3.26953125" style="56" bestFit="1" customWidth="1"/>
    <col min="18" max="16384" width="2.6328125" style="56"/>
  </cols>
  <sheetData>
    <row r="1" spans="1:63" ht="15" customHeight="1" x14ac:dyDescent="0.45">
      <c r="A1" s="352" t="s">
        <v>0</v>
      </c>
      <c r="B1" s="386"/>
      <c r="C1" s="386"/>
      <c r="D1" s="386"/>
      <c r="E1" s="386"/>
      <c r="F1" s="386"/>
      <c r="G1" s="386"/>
      <c r="H1" s="386"/>
      <c r="I1" s="386"/>
      <c r="J1" s="386"/>
      <c r="K1" s="386"/>
      <c r="L1" s="386"/>
      <c r="M1" s="386"/>
      <c r="N1" s="386"/>
      <c r="O1" s="386"/>
      <c r="P1" s="386"/>
      <c r="Q1" s="386"/>
      <c r="R1" s="386"/>
      <c r="S1" s="386"/>
      <c r="T1" s="386"/>
      <c r="U1" s="386"/>
      <c r="V1" s="386"/>
      <c r="W1" s="386"/>
      <c r="X1" s="386"/>
      <c r="Y1" s="386"/>
      <c r="Z1" s="386"/>
      <c r="AA1" s="386"/>
      <c r="AB1" s="386"/>
      <c r="AC1" s="386"/>
      <c r="AD1" s="386"/>
      <c r="AE1" s="386"/>
      <c r="AF1" s="386"/>
      <c r="AG1" s="386"/>
      <c r="AH1" s="386"/>
      <c r="AI1" s="386"/>
      <c r="AJ1" s="386"/>
      <c r="AK1" s="386"/>
      <c r="AL1" s="386"/>
      <c r="AM1" s="386"/>
      <c r="AN1" s="386"/>
      <c r="AO1" s="386"/>
      <c r="AP1" s="386"/>
      <c r="AQ1" s="386"/>
      <c r="AR1" s="386"/>
      <c r="AS1" s="386"/>
      <c r="AT1" s="386"/>
      <c r="AU1" s="386"/>
      <c r="AV1" s="386"/>
      <c r="AW1" s="386"/>
      <c r="AX1" s="386"/>
      <c r="AY1" s="386"/>
      <c r="AZ1" s="386"/>
      <c r="BA1" s="386"/>
      <c r="BB1" s="386"/>
      <c r="BC1" s="386"/>
      <c r="BD1" s="386"/>
      <c r="BE1" s="386"/>
      <c r="BF1" s="386"/>
      <c r="BG1" s="386"/>
      <c r="BH1" s="386"/>
      <c r="BI1" s="386"/>
      <c r="BJ1" s="386"/>
      <c r="BK1" s="387"/>
    </row>
    <row r="2" spans="1:63" ht="15" customHeight="1" x14ac:dyDescent="0.45">
      <c r="A2" s="388" t="s">
        <v>382</v>
      </c>
      <c r="B2" s="389"/>
      <c r="C2" s="389"/>
      <c r="D2" s="389"/>
      <c r="E2" s="390"/>
      <c r="F2" s="58"/>
      <c r="G2" s="151"/>
      <c r="H2" s="151"/>
      <c r="I2" s="151"/>
      <c r="J2" s="151"/>
      <c r="K2" s="151"/>
      <c r="L2" s="151"/>
      <c r="M2" s="151"/>
      <c r="N2" s="151"/>
      <c r="O2" s="151"/>
      <c r="P2" s="151"/>
      <c r="Q2" s="151"/>
      <c r="R2" s="151"/>
      <c r="S2" s="151"/>
      <c r="T2" s="151"/>
      <c r="U2" s="151"/>
      <c r="V2" s="151"/>
      <c r="W2" s="65"/>
      <c r="X2" s="64"/>
      <c r="Y2" s="64"/>
      <c r="Z2" s="64"/>
      <c r="AA2" s="64"/>
      <c r="AB2" s="64"/>
      <c r="AC2" s="64"/>
      <c r="AD2" s="64"/>
      <c r="AE2" s="64"/>
      <c r="AF2" s="188" t="s">
        <v>383</v>
      </c>
      <c r="AG2" s="202"/>
      <c r="AH2" s="64"/>
      <c r="AI2" s="64"/>
      <c r="AJ2" s="64"/>
      <c r="AK2" s="64"/>
      <c r="AL2" s="64"/>
      <c r="AM2" s="64"/>
      <c r="AN2" s="64"/>
      <c r="AO2" s="64"/>
      <c r="AP2" s="64"/>
      <c r="AQ2" s="64"/>
      <c r="AR2" s="64"/>
      <c r="AS2" s="64"/>
      <c r="AT2" s="64"/>
      <c r="AU2" s="64"/>
      <c r="AV2" s="65"/>
      <c r="AW2" s="151"/>
      <c r="AX2" s="151"/>
      <c r="AY2" s="151"/>
      <c r="AZ2" s="151"/>
      <c r="BA2" s="151"/>
      <c r="BB2" s="151"/>
      <c r="BC2" s="151"/>
      <c r="BD2" s="151"/>
      <c r="BE2" s="151"/>
      <c r="BF2" s="151"/>
      <c r="BG2" s="151"/>
      <c r="BH2" s="151"/>
      <c r="BI2" s="151"/>
      <c r="BJ2" s="151"/>
      <c r="BK2" s="193"/>
    </row>
    <row r="3" spans="1:63" ht="15" customHeight="1" x14ac:dyDescent="0.45">
      <c r="A3" s="57"/>
      <c r="AF3" s="57"/>
      <c r="AU3" s="56" t="s">
        <v>384</v>
      </c>
      <c r="AX3" s="56" t="s">
        <v>385</v>
      </c>
      <c r="BK3" s="192"/>
    </row>
    <row r="4" spans="1:63" ht="15" customHeight="1" x14ac:dyDescent="0.45">
      <c r="A4" s="57"/>
      <c r="AF4" s="57"/>
      <c r="AG4" s="56" t="s">
        <v>386</v>
      </c>
      <c r="AL4" s="56" t="s">
        <v>387</v>
      </c>
      <c r="AQ4" s="56" t="s">
        <v>388</v>
      </c>
      <c r="AU4" s="56" t="s">
        <v>389</v>
      </c>
      <c r="AX4" s="56" t="s">
        <v>390</v>
      </c>
      <c r="BB4" s="56" t="s">
        <v>391</v>
      </c>
      <c r="BF4" s="56" t="s">
        <v>392</v>
      </c>
      <c r="BI4" s="56" t="s">
        <v>389</v>
      </c>
      <c r="BK4" s="192"/>
    </row>
    <row r="5" spans="1:63" ht="15" customHeight="1" x14ac:dyDescent="0.45">
      <c r="A5" s="57"/>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4"/>
      <c r="AG5" s="71"/>
      <c r="AH5" s="71"/>
      <c r="AI5" s="71"/>
      <c r="AJ5" s="71"/>
      <c r="AK5" s="71"/>
      <c r="AL5" s="71"/>
      <c r="AM5" s="71"/>
      <c r="AN5" s="71"/>
      <c r="AO5" s="71"/>
      <c r="AP5" s="71"/>
      <c r="AQ5" s="71"/>
      <c r="AR5" s="71"/>
      <c r="AS5" s="71"/>
      <c r="AT5" s="71"/>
      <c r="AU5" s="71"/>
      <c r="AV5" s="71"/>
      <c r="AW5" s="71"/>
      <c r="AX5" s="71"/>
      <c r="AY5" s="71"/>
      <c r="AZ5" s="71"/>
      <c r="BA5" s="71"/>
      <c r="BB5" s="71"/>
      <c r="BC5" s="71"/>
      <c r="BD5" s="71"/>
      <c r="BK5" s="192"/>
    </row>
    <row r="6" spans="1:63" ht="15" customHeight="1" x14ac:dyDescent="0.45">
      <c r="A6" s="57"/>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4"/>
      <c r="AG6" s="71"/>
      <c r="AH6" s="71"/>
      <c r="AI6" s="71"/>
      <c r="AJ6" s="71"/>
      <c r="AK6" s="71"/>
      <c r="AL6" s="71"/>
      <c r="AM6" s="71"/>
      <c r="AN6" s="71"/>
      <c r="AO6" s="71"/>
      <c r="AP6" s="71"/>
      <c r="AQ6" s="71"/>
      <c r="AR6" s="71"/>
      <c r="AS6" s="71"/>
      <c r="AT6" s="71"/>
      <c r="AU6" s="71"/>
      <c r="AV6" s="71"/>
      <c r="AW6" s="71"/>
      <c r="AX6" s="71"/>
      <c r="AY6" s="71"/>
      <c r="AZ6" s="71"/>
      <c r="BA6" s="71"/>
      <c r="BB6" s="71"/>
      <c r="BC6" s="71"/>
      <c r="BD6" s="71"/>
      <c r="BK6" s="192"/>
    </row>
    <row r="7" spans="1:63" ht="15" customHeight="1" x14ac:dyDescent="0.45">
      <c r="A7" s="57"/>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4"/>
      <c r="AG7" s="71"/>
      <c r="AH7" s="71"/>
      <c r="AI7" s="71"/>
      <c r="AJ7" s="71"/>
      <c r="AK7" s="71"/>
      <c r="AL7" s="71"/>
      <c r="AM7" s="71"/>
      <c r="AN7" s="71"/>
      <c r="AO7" s="71"/>
      <c r="AP7" s="71"/>
      <c r="AQ7" s="71"/>
      <c r="AR7" s="71"/>
      <c r="AS7" s="71"/>
      <c r="AT7" s="71"/>
      <c r="AU7" s="71"/>
      <c r="AV7" s="71"/>
      <c r="AW7" s="71"/>
      <c r="AX7" s="71"/>
      <c r="AY7" s="71"/>
      <c r="AZ7" s="71"/>
      <c r="BA7" s="71"/>
      <c r="BB7" s="71"/>
      <c r="BC7" s="71"/>
      <c r="BD7" s="71"/>
      <c r="BK7" s="192"/>
    </row>
    <row r="8" spans="1:63" ht="15" customHeight="1" x14ac:dyDescent="0.45">
      <c r="A8" s="57"/>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5"/>
      <c r="AG8" s="76"/>
      <c r="AH8" s="76"/>
      <c r="AI8" s="76"/>
      <c r="AJ8" s="76"/>
      <c r="AK8" s="76"/>
      <c r="AL8" s="76"/>
      <c r="AM8" s="76"/>
      <c r="AN8" s="76"/>
      <c r="AO8" s="76"/>
      <c r="AP8" s="76"/>
      <c r="AQ8" s="76"/>
      <c r="AR8" s="76"/>
      <c r="AS8" s="76"/>
      <c r="AT8" s="76"/>
      <c r="AU8" s="76"/>
      <c r="AV8" s="76"/>
      <c r="AW8" s="76"/>
      <c r="AX8" s="76"/>
      <c r="AY8" s="76"/>
      <c r="AZ8" s="76"/>
      <c r="BA8" s="76"/>
      <c r="BB8" s="76"/>
      <c r="BC8" s="76"/>
      <c r="BD8" s="76"/>
      <c r="BE8" s="68"/>
      <c r="BF8" s="68"/>
      <c r="BG8" s="68"/>
      <c r="BH8" s="68"/>
      <c r="BI8" s="68"/>
      <c r="BJ8" s="68"/>
      <c r="BK8" s="69"/>
    </row>
    <row r="9" spans="1:63" ht="15" customHeight="1" x14ac:dyDescent="0.45">
      <c r="A9" s="57"/>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c r="BB9" s="71"/>
      <c r="BC9" s="71"/>
      <c r="BD9" s="71"/>
      <c r="BE9" s="71"/>
      <c r="BF9" s="71"/>
      <c r="BK9" s="192"/>
    </row>
    <row r="10" spans="1:63" ht="15" customHeight="1" x14ac:dyDescent="0.45">
      <c r="A10" s="57"/>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K10" s="192"/>
    </row>
    <row r="11" spans="1:63" ht="15" customHeight="1" x14ac:dyDescent="0.45">
      <c r="A11" s="57"/>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K11" s="192"/>
    </row>
    <row r="12" spans="1:63" ht="15" customHeight="1" x14ac:dyDescent="0.45">
      <c r="A12" s="57"/>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K12" s="192"/>
    </row>
    <row r="13" spans="1:63" ht="15" customHeight="1" x14ac:dyDescent="0.45">
      <c r="A13" s="57"/>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K13" s="192"/>
    </row>
    <row r="14" spans="1:63" ht="15" customHeight="1" x14ac:dyDescent="0.45">
      <c r="AY14" s="71"/>
      <c r="AZ14" s="71"/>
      <c r="BA14" s="71"/>
      <c r="BB14" s="71"/>
      <c r="BC14" s="71"/>
      <c r="BD14" s="71"/>
      <c r="BE14" s="71"/>
      <c r="BK14" s="192"/>
    </row>
    <row r="15" spans="1:63" ht="15" customHeight="1" x14ac:dyDescent="0.45">
      <c r="BK15" s="192"/>
    </row>
    <row r="16" spans="1:63" ht="15" customHeight="1" x14ac:dyDescent="0.45">
      <c r="BK16" s="192"/>
    </row>
    <row r="17" spans="2:63" ht="15" customHeight="1" x14ac:dyDescent="0.45">
      <c r="BK17" s="192"/>
    </row>
    <row r="18" spans="2:63" ht="15" customHeight="1" x14ac:dyDescent="0.45">
      <c r="B18" s="71"/>
      <c r="C18" s="71"/>
      <c r="D18" s="71"/>
      <c r="E18" s="71"/>
      <c r="F18" s="71"/>
      <c r="G18" s="71"/>
      <c r="H18" s="71"/>
      <c r="I18" s="71"/>
      <c r="J18" s="71"/>
      <c r="K18" s="71"/>
      <c r="L18" s="71"/>
      <c r="M18" s="71"/>
      <c r="N18" s="71"/>
      <c r="O18" s="71"/>
      <c r="P18" s="71"/>
      <c r="Q18" s="71"/>
      <c r="R18" s="71"/>
      <c r="S18" s="71"/>
      <c r="T18" s="71"/>
      <c r="U18" s="71"/>
      <c r="V18" s="71"/>
      <c r="BK18" s="192"/>
    </row>
    <row r="19" spans="2:63" ht="15" customHeight="1" x14ac:dyDescent="0.45">
      <c r="B19" s="71"/>
      <c r="C19" s="71"/>
      <c r="D19" s="71"/>
      <c r="E19" s="71"/>
      <c r="F19" s="71"/>
      <c r="G19" s="71"/>
      <c r="H19" s="71"/>
      <c r="I19" s="71"/>
      <c r="J19" s="71"/>
      <c r="K19" s="71"/>
      <c r="L19" s="71"/>
      <c r="M19" s="71"/>
      <c r="N19" s="71"/>
      <c r="O19" s="71"/>
      <c r="P19" s="71"/>
      <c r="Q19" s="71"/>
      <c r="R19" s="71"/>
      <c r="S19" s="71"/>
      <c r="T19" s="71"/>
      <c r="U19" s="71"/>
      <c r="V19" s="71"/>
      <c r="BK19" s="192"/>
    </row>
    <row r="20" spans="2:63" ht="15" customHeight="1" x14ac:dyDescent="0.45">
      <c r="B20" s="71"/>
      <c r="C20" s="71"/>
      <c r="D20" s="71"/>
      <c r="E20" s="71"/>
      <c r="F20" s="71"/>
      <c r="G20" s="71"/>
      <c r="H20" s="71"/>
      <c r="I20" s="71"/>
      <c r="J20" s="71"/>
      <c r="K20" s="71"/>
      <c r="L20" s="71"/>
      <c r="M20" s="71"/>
      <c r="N20" s="71"/>
      <c r="O20" s="71"/>
      <c r="P20" s="71"/>
      <c r="Q20" s="71"/>
      <c r="R20" s="71"/>
      <c r="S20" s="71"/>
      <c r="T20" s="71"/>
      <c r="U20" s="71"/>
      <c r="V20" s="71"/>
      <c r="BK20" s="192"/>
    </row>
    <row r="21" spans="2:63" ht="15" customHeight="1" x14ac:dyDescent="0.45">
      <c r="B21" s="71"/>
      <c r="C21" s="71"/>
      <c r="D21" s="71"/>
      <c r="E21" s="71"/>
      <c r="F21" s="71"/>
      <c r="G21" s="71"/>
      <c r="H21" s="71"/>
      <c r="I21" s="71"/>
      <c r="J21" s="71"/>
      <c r="K21" s="71"/>
      <c r="L21" s="71"/>
      <c r="M21" s="71"/>
      <c r="N21" s="71"/>
      <c r="O21" s="71"/>
      <c r="P21" s="71"/>
      <c r="Q21" s="71"/>
      <c r="R21" s="71"/>
      <c r="S21" s="71"/>
      <c r="T21" s="71"/>
      <c r="U21" s="71"/>
      <c r="V21" s="71"/>
      <c r="BK21" s="192"/>
    </row>
    <row r="22" spans="2:63" ht="15" customHeight="1" x14ac:dyDescent="0.45">
      <c r="B22" s="71"/>
      <c r="C22" s="71"/>
      <c r="D22" s="71"/>
      <c r="E22" s="71"/>
      <c r="F22" s="71"/>
      <c r="G22" s="71"/>
      <c r="H22" s="71"/>
      <c r="I22" s="71"/>
      <c r="J22" s="71"/>
      <c r="K22" s="71"/>
      <c r="L22" s="71"/>
      <c r="M22" s="71"/>
      <c r="N22" s="71"/>
      <c r="O22" s="71"/>
      <c r="P22" s="71"/>
      <c r="Q22" s="71"/>
      <c r="R22" s="71"/>
      <c r="S22" s="71"/>
      <c r="T22" s="71"/>
      <c r="U22" s="71"/>
      <c r="V22" s="71"/>
      <c r="BK22" s="192"/>
    </row>
    <row r="23" spans="2:63" ht="15" customHeight="1" x14ac:dyDescent="0.45">
      <c r="B23" s="71"/>
      <c r="C23" s="71"/>
      <c r="D23" s="71"/>
      <c r="E23" s="71"/>
      <c r="F23" s="71"/>
      <c r="G23" s="71"/>
      <c r="H23" s="71"/>
      <c r="I23" s="71"/>
      <c r="J23" s="71"/>
      <c r="K23" s="71"/>
      <c r="L23" s="71"/>
      <c r="M23" s="71"/>
      <c r="N23" s="71"/>
      <c r="O23" s="71"/>
      <c r="P23" s="71"/>
      <c r="Q23" s="71"/>
      <c r="R23" s="71"/>
      <c r="S23" s="71"/>
      <c r="T23" s="71"/>
      <c r="U23" s="71"/>
      <c r="V23" s="71"/>
      <c r="BK23" s="192"/>
    </row>
    <row r="24" spans="2:63" ht="15" customHeight="1" x14ac:dyDescent="0.45">
      <c r="B24" s="71"/>
      <c r="C24" s="71"/>
      <c r="D24" s="71"/>
      <c r="E24" s="71"/>
      <c r="F24" s="71"/>
      <c r="G24" s="71"/>
      <c r="H24" s="71"/>
      <c r="I24" s="71"/>
      <c r="J24" s="71"/>
      <c r="K24" s="71"/>
      <c r="L24" s="71"/>
      <c r="M24" s="71"/>
      <c r="N24" s="71"/>
      <c r="O24" s="71"/>
      <c r="P24" s="71"/>
      <c r="Q24" s="71"/>
      <c r="R24" s="71"/>
      <c r="S24" s="71"/>
      <c r="T24" s="71"/>
      <c r="U24" s="71"/>
      <c r="V24" s="71"/>
      <c r="BK24" s="192"/>
    </row>
    <row r="25" spans="2:63" ht="15" customHeight="1" x14ac:dyDescent="0.45">
      <c r="B25" s="71"/>
      <c r="C25" s="71"/>
      <c r="D25" s="71"/>
      <c r="E25" s="71"/>
      <c r="F25" s="71"/>
      <c r="G25" s="71"/>
      <c r="H25" s="71"/>
      <c r="I25" s="71"/>
      <c r="J25" s="71"/>
      <c r="K25" s="71"/>
      <c r="L25" s="71"/>
      <c r="M25" s="71"/>
      <c r="N25" s="71"/>
      <c r="O25" s="71"/>
      <c r="P25" s="71"/>
      <c r="Q25" s="71"/>
      <c r="R25" s="71"/>
      <c r="S25" s="71"/>
      <c r="T25" s="71"/>
      <c r="U25" s="71"/>
      <c r="V25" s="71"/>
      <c r="BK25" s="192"/>
    </row>
    <row r="26" spans="2:63" ht="15" customHeight="1" x14ac:dyDescent="0.45">
      <c r="B26" s="71"/>
      <c r="C26" s="71"/>
      <c r="D26" s="71"/>
      <c r="E26" s="71"/>
      <c r="F26" s="71"/>
      <c r="G26" s="71"/>
      <c r="H26" s="71"/>
      <c r="I26" s="71"/>
      <c r="J26" s="71"/>
      <c r="K26" s="71"/>
      <c r="L26" s="71"/>
      <c r="M26" s="71"/>
      <c r="N26" s="71"/>
      <c r="O26" s="71"/>
      <c r="P26" s="71"/>
      <c r="Q26" s="71"/>
      <c r="R26" s="71"/>
      <c r="S26" s="71"/>
      <c r="T26" s="71"/>
      <c r="U26" s="71"/>
      <c r="V26" s="71"/>
      <c r="BK26" s="192"/>
    </row>
    <row r="27" spans="2:63" ht="15" customHeight="1" x14ac:dyDescent="0.45">
      <c r="B27" s="71"/>
      <c r="C27" s="71"/>
      <c r="D27" s="71"/>
      <c r="E27" s="71"/>
      <c r="F27" s="71"/>
      <c r="G27" s="71"/>
      <c r="H27" s="71"/>
      <c r="I27" s="71"/>
      <c r="J27" s="71"/>
      <c r="K27" s="71"/>
      <c r="L27" s="71"/>
      <c r="M27" s="71"/>
      <c r="N27" s="71"/>
      <c r="O27" s="71"/>
      <c r="P27" s="71"/>
      <c r="Q27" s="71"/>
      <c r="R27" s="71"/>
      <c r="S27" s="71"/>
      <c r="T27" s="71"/>
      <c r="U27" s="71"/>
      <c r="V27" s="71"/>
      <c r="BK27" s="192"/>
    </row>
    <row r="28" spans="2:63" ht="15" customHeight="1" x14ac:dyDescent="0.45">
      <c r="B28" s="71"/>
      <c r="C28" s="71"/>
      <c r="D28" s="71"/>
      <c r="E28" s="71"/>
      <c r="F28" s="71"/>
      <c r="G28" s="71"/>
      <c r="H28" s="71"/>
      <c r="I28" s="71"/>
      <c r="J28" s="71"/>
      <c r="K28" s="71"/>
      <c r="L28" s="71"/>
      <c r="M28" s="71"/>
      <c r="N28" s="71"/>
      <c r="O28" s="71"/>
      <c r="P28" s="71"/>
      <c r="Q28" s="71"/>
      <c r="R28" s="71"/>
      <c r="S28" s="71"/>
      <c r="T28" s="71"/>
      <c r="U28" s="71"/>
      <c r="V28" s="71"/>
      <c r="BK28" s="192"/>
    </row>
    <row r="29" spans="2:63" ht="15" customHeight="1" x14ac:dyDescent="0.45">
      <c r="B29" s="71"/>
      <c r="C29" s="71"/>
      <c r="D29" s="71"/>
      <c r="E29" s="71"/>
      <c r="F29" s="71"/>
      <c r="G29" s="71"/>
      <c r="H29" s="71"/>
      <c r="I29" s="71"/>
      <c r="J29" s="71"/>
      <c r="K29" s="71"/>
      <c r="L29" s="71"/>
      <c r="M29" s="71"/>
      <c r="N29" s="71"/>
      <c r="O29" s="71"/>
      <c r="P29" s="71"/>
      <c r="Q29" s="71"/>
      <c r="R29" s="71"/>
      <c r="S29" s="71"/>
      <c r="T29" s="71"/>
      <c r="U29" s="71"/>
      <c r="V29" s="71"/>
      <c r="BK29" s="192"/>
    </row>
    <row r="30" spans="2:63" ht="15" customHeight="1" x14ac:dyDescent="0.45">
      <c r="B30" s="71"/>
      <c r="C30" s="71"/>
      <c r="D30" s="71"/>
      <c r="E30" s="71"/>
      <c r="F30" s="71"/>
      <c r="G30" s="71"/>
      <c r="H30" s="71"/>
      <c r="I30" s="71"/>
      <c r="J30" s="71"/>
      <c r="K30" s="71"/>
      <c r="L30" s="71"/>
      <c r="M30" s="71"/>
      <c r="N30" s="71"/>
      <c r="O30" s="71"/>
      <c r="P30" s="71"/>
      <c r="Q30" s="71"/>
      <c r="R30" s="71"/>
      <c r="S30" s="71"/>
      <c r="T30" s="71"/>
      <c r="U30" s="71"/>
      <c r="V30" s="71"/>
      <c r="BK30" s="192"/>
    </row>
    <row r="31" spans="2:63" ht="15" customHeight="1" x14ac:dyDescent="0.45">
      <c r="B31" s="71"/>
      <c r="C31" s="71"/>
      <c r="D31" s="71"/>
      <c r="E31" s="71"/>
      <c r="F31" s="71"/>
      <c r="G31" s="71"/>
      <c r="H31" s="71"/>
      <c r="I31" s="71"/>
      <c r="J31" s="71"/>
      <c r="K31" s="71"/>
      <c r="L31" s="71"/>
      <c r="M31" s="71"/>
      <c r="N31" s="71"/>
      <c r="O31" s="71"/>
      <c r="P31" s="71"/>
      <c r="Q31" s="71"/>
      <c r="R31" s="71"/>
      <c r="S31" s="71"/>
      <c r="T31" s="71"/>
      <c r="U31" s="71"/>
      <c r="V31" s="71"/>
      <c r="BK31" s="192"/>
    </row>
    <row r="32" spans="2:63" ht="15" customHeight="1" x14ac:dyDescent="0.45">
      <c r="B32" s="71"/>
      <c r="C32" s="71"/>
      <c r="D32" s="71"/>
      <c r="E32" s="71"/>
      <c r="F32" s="71"/>
      <c r="G32" s="71"/>
      <c r="H32" s="71"/>
      <c r="I32" s="71"/>
      <c r="J32" s="71"/>
      <c r="K32" s="71"/>
      <c r="L32" s="71"/>
      <c r="M32" s="71"/>
      <c r="N32" s="71"/>
      <c r="O32" s="71"/>
      <c r="P32" s="71"/>
      <c r="Q32" s="71"/>
      <c r="R32" s="71"/>
      <c r="S32" s="71"/>
      <c r="T32" s="71"/>
      <c r="U32" s="71"/>
      <c r="V32" s="71"/>
      <c r="BK32" s="192"/>
    </row>
    <row r="33" spans="1:85" ht="15" customHeight="1" x14ac:dyDescent="0.45">
      <c r="B33" s="71"/>
      <c r="C33" s="71"/>
      <c r="D33" s="71"/>
      <c r="E33" s="71"/>
      <c r="F33" s="71"/>
      <c r="G33" s="71"/>
      <c r="H33" s="71"/>
      <c r="I33" s="71"/>
      <c r="J33" s="71"/>
      <c r="K33" s="71"/>
      <c r="L33" s="71"/>
      <c r="M33" s="71"/>
      <c r="N33" s="71"/>
      <c r="O33" s="71"/>
      <c r="P33" s="71"/>
      <c r="Q33" s="71"/>
      <c r="R33" s="71"/>
      <c r="S33" s="71"/>
      <c r="T33" s="71"/>
      <c r="U33" s="71"/>
      <c r="V33" s="71"/>
      <c r="BK33" s="192"/>
    </row>
    <row r="34" spans="1:85" ht="15" customHeight="1" x14ac:dyDescent="0.45">
      <c r="B34" s="71"/>
      <c r="C34" s="71"/>
      <c r="D34" s="71"/>
      <c r="E34" s="71"/>
      <c r="F34" s="71"/>
      <c r="G34" s="71"/>
      <c r="H34" s="71"/>
      <c r="I34" s="71"/>
      <c r="J34" s="71"/>
      <c r="K34" s="71"/>
      <c r="L34" s="71"/>
      <c r="M34" s="71"/>
      <c r="N34" s="71"/>
      <c r="O34" s="71"/>
      <c r="P34" s="71"/>
      <c r="Q34" s="71"/>
      <c r="R34" s="71"/>
      <c r="S34" s="71"/>
      <c r="T34" s="71"/>
      <c r="U34" s="71"/>
      <c r="V34" s="71"/>
      <c r="BK34" s="192"/>
    </row>
    <row r="35" spans="1:85" ht="15" customHeight="1" x14ac:dyDescent="0.45">
      <c r="B35" s="71"/>
      <c r="C35" s="71"/>
      <c r="D35" s="71"/>
      <c r="E35" s="71"/>
      <c r="F35" s="71"/>
      <c r="G35" s="71"/>
      <c r="H35" s="71"/>
      <c r="I35" s="71"/>
      <c r="J35" s="71"/>
      <c r="K35" s="71"/>
      <c r="L35" s="71"/>
      <c r="M35" s="71"/>
      <c r="N35" s="71"/>
      <c r="O35" s="71"/>
      <c r="P35" s="71"/>
      <c r="Q35" s="71"/>
      <c r="R35" s="71"/>
      <c r="S35" s="71"/>
      <c r="T35" s="71"/>
      <c r="U35" s="71"/>
      <c r="V35" s="71"/>
      <c r="BK35" s="192"/>
    </row>
    <row r="36" spans="1:85" ht="15" customHeight="1" x14ac:dyDescent="0.45">
      <c r="B36" s="71"/>
      <c r="C36" s="71"/>
      <c r="D36" s="71"/>
      <c r="E36" s="71"/>
      <c r="F36" s="71"/>
      <c r="G36" s="71"/>
      <c r="H36" s="71"/>
      <c r="I36" s="71"/>
      <c r="J36" s="71"/>
      <c r="K36" s="71"/>
      <c r="L36" s="71"/>
      <c r="M36" s="71"/>
      <c r="N36" s="71"/>
      <c r="O36" s="71"/>
      <c r="P36" s="71"/>
      <c r="Q36" s="71"/>
      <c r="R36" s="71"/>
      <c r="S36" s="71"/>
      <c r="T36" s="71"/>
      <c r="U36" s="71"/>
      <c r="V36" s="71"/>
      <c r="BK36" s="192"/>
    </row>
    <row r="37" spans="1:85" ht="15" customHeight="1" x14ac:dyDescent="0.45">
      <c r="B37" s="71"/>
      <c r="C37" s="71"/>
      <c r="D37" s="71"/>
      <c r="E37" s="71"/>
      <c r="F37" s="71"/>
      <c r="G37" s="71"/>
      <c r="H37" s="71"/>
      <c r="I37" s="71"/>
      <c r="J37" s="71"/>
      <c r="K37" s="71"/>
      <c r="L37" s="71"/>
      <c r="M37" s="71"/>
      <c r="N37" s="71"/>
      <c r="O37" s="71"/>
      <c r="P37" s="71"/>
      <c r="Q37" s="71"/>
      <c r="R37" s="71"/>
      <c r="S37" s="71"/>
      <c r="T37" s="71"/>
      <c r="U37" s="71"/>
      <c r="V37" s="71"/>
      <c r="BK37" s="192"/>
    </row>
    <row r="38" spans="1:85" ht="15" customHeight="1" x14ac:dyDescent="0.45">
      <c r="B38" s="71"/>
      <c r="C38" s="71"/>
      <c r="D38" s="71"/>
      <c r="E38" s="71"/>
      <c r="F38" s="71"/>
      <c r="G38" s="71"/>
      <c r="H38" s="71"/>
      <c r="I38" s="71"/>
      <c r="J38" s="71"/>
      <c r="K38" s="71"/>
      <c r="L38" s="71"/>
      <c r="M38" s="71"/>
      <c r="N38" s="71"/>
      <c r="O38" s="71"/>
      <c r="P38" s="71"/>
      <c r="Q38" s="71"/>
      <c r="R38" s="71"/>
      <c r="S38" s="71"/>
      <c r="T38" s="71"/>
      <c r="U38" s="71"/>
      <c r="V38" s="71"/>
      <c r="BK38" s="192"/>
    </row>
    <row r="39" spans="1:85" ht="15" customHeight="1" x14ac:dyDescent="0.45">
      <c r="B39" s="71"/>
      <c r="C39" s="71"/>
      <c r="D39" s="71"/>
      <c r="E39" s="71"/>
      <c r="F39" s="71"/>
      <c r="G39" s="71"/>
      <c r="H39" s="71"/>
      <c r="I39" s="71"/>
      <c r="J39" s="71"/>
      <c r="K39" s="71"/>
      <c r="L39" s="71"/>
      <c r="M39" s="71"/>
      <c r="N39" s="71"/>
      <c r="O39" s="71"/>
      <c r="P39" s="71"/>
      <c r="Q39" s="71"/>
      <c r="R39" s="71"/>
      <c r="S39" s="71"/>
      <c r="T39" s="71"/>
      <c r="U39" s="71"/>
      <c r="V39" s="71"/>
      <c r="BK39" s="192"/>
    </row>
    <row r="40" spans="1:85" ht="15" customHeight="1" x14ac:dyDescent="0.45">
      <c r="B40" s="71"/>
      <c r="C40" s="71"/>
      <c r="D40" s="71"/>
      <c r="E40" s="71"/>
      <c r="F40" s="71"/>
      <c r="G40" s="71"/>
      <c r="H40" s="71"/>
      <c r="I40" s="71"/>
      <c r="J40" s="71"/>
      <c r="K40" s="71"/>
      <c r="L40" s="71"/>
      <c r="M40" s="71"/>
      <c r="N40" s="71"/>
      <c r="O40" s="71"/>
      <c r="P40" s="71"/>
      <c r="Q40" s="71"/>
      <c r="R40" s="71"/>
      <c r="S40" s="71"/>
      <c r="T40" s="71"/>
      <c r="U40" s="71"/>
      <c r="V40" s="71"/>
      <c r="BK40" s="192"/>
    </row>
    <row r="41" spans="1:85" ht="15" customHeight="1" x14ac:dyDescent="0.45">
      <c r="B41" s="71"/>
      <c r="C41" s="71"/>
      <c r="D41" s="71"/>
      <c r="E41" s="71"/>
      <c r="F41" s="71"/>
      <c r="G41" s="71"/>
      <c r="H41" s="71"/>
      <c r="I41" s="71"/>
      <c r="J41" s="71"/>
      <c r="K41" s="71"/>
      <c r="L41" s="71"/>
      <c r="M41" s="71"/>
      <c r="N41" s="71"/>
      <c r="O41" s="71"/>
      <c r="P41" s="71"/>
      <c r="Q41" s="71"/>
      <c r="R41" s="71"/>
      <c r="S41" s="71"/>
      <c r="T41" s="71"/>
      <c r="U41" s="71"/>
      <c r="V41" s="71"/>
      <c r="BK41" s="192"/>
    </row>
    <row r="42" spans="1:85" ht="15" customHeight="1" x14ac:dyDescent="0.45">
      <c r="B42" s="71"/>
      <c r="C42" s="71"/>
      <c r="D42" s="71"/>
      <c r="E42" s="71"/>
      <c r="F42" s="71"/>
      <c r="G42" s="71"/>
      <c r="H42" s="71"/>
      <c r="I42" s="71"/>
      <c r="J42" s="71"/>
      <c r="K42" s="71"/>
      <c r="L42" s="71"/>
      <c r="M42" s="71"/>
      <c r="N42" s="71"/>
      <c r="O42" s="71"/>
      <c r="P42" s="71"/>
      <c r="Q42" s="71"/>
      <c r="R42" s="71"/>
      <c r="S42" s="71"/>
      <c r="T42" s="71"/>
      <c r="U42" s="71"/>
      <c r="V42" s="71"/>
      <c r="BK42" s="192"/>
    </row>
    <row r="43" spans="1:85" ht="15" customHeight="1" x14ac:dyDescent="0.45">
      <c r="B43" s="71"/>
      <c r="C43" s="71"/>
      <c r="D43" s="71"/>
      <c r="E43" s="71"/>
      <c r="F43" s="71"/>
      <c r="G43" s="71"/>
      <c r="H43" s="71"/>
      <c r="I43" s="71"/>
      <c r="J43" s="71"/>
      <c r="K43" s="71"/>
      <c r="L43" s="71"/>
      <c r="M43" s="71"/>
      <c r="N43" s="71"/>
      <c r="O43" s="71"/>
      <c r="P43" s="71"/>
      <c r="Q43" s="71"/>
      <c r="R43" s="71"/>
      <c r="S43" s="71"/>
      <c r="T43" s="71"/>
      <c r="U43" s="71"/>
      <c r="V43" s="71"/>
      <c r="BK43" s="192"/>
    </row>
    <row r="44" spans="1:85" ht="15" customHeight="1" x14ac:dyDescent="0.45">
      <c r="B44" s="71"/>
      <c r="C44" s="71"/>
      <c r="D44" s="71"/>
      <c r="E44" s="71"/>
      <c r="F44" s="71"/>
      <c r="G44" s="71"/>
      <c r="H44" s="71"/>
      <c r="I44" s="71"/>
      <c r="J44" s="71"/>
      <c r="K44" s="71"/>
      <c r="L44" s="71"/>
      <c r="M44" s="71"/>
      <c r="N44" s="71"/>
      <c r="O44" s="71"/>
      <c r="P44" s="71"/>
      <c r="Q44" s="71"/>
      <c r="R44" s="71"/>
      <c r="S44" s="71"/>
      <c r="T44" s="71"/>
      <c r="U44" s="71"/>
      <c r="V44" s="71"/>
      <c r="BK44" s="192"/>
    </row>
    <row r="45" spans="1:85" ht="15" customHeight="1" x14ac:dyDescent="0.45">
      <c r="B45" s="71"/>
      <c r="C45" s="71"/>
      <c r="D45" s="71"/>
      <c r="E45" s="71"/>
      <c r="F45" s="71"/>
      <c r="G45" s="71"/>
      <c r="H45" s="71"/>
      <c r="I45" s="71"/>
      <c r="J45" s="71"/>
      <c r="K45" s="71"/>
      <c r="L45" s="71"/>
      <c r="M45" s="71"/>
      <c r="N45" s="71"/>
      <c r="O45" s="71"/>
      <c r="P45" s="71"/>
      <c r="Q45" s="71"/>
      <c r="R45" s="71"/>
      <c r="S45" s="71"/>
      <c r="T45" s="71"/>
      <c r="U45" s="71"/>
      <c r="V45" s="71"/>
      <c r="BK45" s="192"/>
    </row>
    <row r="46" spans="1:85" ht="15" customHeight="1" x14ac:dyDescent="0.45">
      <c r="D46" s="71"/>
      <c r="E46" s="71"/>
      <c r="F46" s="71"/>
      <c r="G46" s="71"/>
      <c r="H46" s="71"/>
      <c r="I46" s="71"/>
      <c r="J46" s="71"/>
      <c r="K46" s="71"/>
      <c r="L46" s="71"/>
      <c r="M46" s="71"/>
      <c r="N46" s="71"/>
      <c r="O46" s="71"/>
      <c r="P46" s="71"/>
      <c r="Q46" s="71"/>
      <c r="R46" s="71"/>
      <c r="S46" s="71"/>
      <c r="T46" s="71"/>
      <c r="U46" s="71"/>
      <c r="V46" s="71"/>
      <c r="W46" s="71"/>
      <c r="X46" s="71"/>
      <c r="BD46" s="71"/>
      <c r="BE46" s="71"/>
      <c r="BK46" s="192"/>
    </row>
    <row r="47" spans="1:85" ht="15" customHeight="1" x14ac:dyDescent="0.45">
      <c r="A47" s="57"/>
      <c r="AU47" s="71"/>
      <c r="AV47" s="71"/>
      <c r="AW47" s="71"/>
      <c r="AX47" s="71"/>
      <c r="AY47" s="71"/>
      <c r="AZ47" s="71"/>
      <c r="BA47" s="71"/>
      <c r="BB47" s="71"/>
      <c r="BC47" s="71"/>
      <c r="BD47" s="71"/>
      <c r="BE47" s="71"/>
      <c r="BK47" s="192"/>
      <c r="CE47" s="71"/>
      <c r="CF47" s="71"/>
      <c r="CG47" s="71"/>
    </row>
    <row r="48" spans="1:85" ht="15" customHeight="1" x14ac:dyDescent="0.45">
      <c r="A48" s="57"/>
      <c r="E48" s="71"/>
      <c r="F48" s="71"/>
      <c r="G48" s="71"/>
      <c r="H48" s="71"/>
      <c r="I48" s="71"/>
      <c r="J48" s="71"/>
      <c r="K48" s="71"/>
      <c r="L48" s="71"/>
      <c r="W48" s="71"/>
      <c r="X48" s="71"/>
      <c r="Y48" s="71"/>
      <c r="Z48" s="71"/>
      <c r="AA48" s="71"/>
      <c r="AB48" s="71"/>
      <c r="AC48" s="71"/>
      <c r="AD48" s="71"/>
      <c r="AE48" s="71"/>
      <c r="AF48" s="71"/>
      <c r="AG48" s="71"/>
      <c r="AH48" s="71"/>
      <c r="AJ48" s="71"/>
      <c r="AK48" s="71"/>
      <c r="AL48" s="71"/>
      <c r="AM48" s="71"/>
      <c r="AX48" s="71"/>
      <c r="AY48" s="71"/>
      <c r="AZ48" s="71"/>
      <c r="BA48" s="71"/>
      <c r="BB48" s="71"/>
      <c r="BC48" s="71"/>
      <c r="BK48" s="192"/>
    </row>
    <row r="49" spans="1:85" ht="15" customHeight="1" x14ac:dyDescent="0.45">
      <c r="A49" s="57"/>
      <c r="E49" s="71"/>
      <c r="F49" s="71"/>
      <c r="G49" s="71"/>
      <c r="H49" s="71"/>
      <c r="I49" s="71"/>
      <c r="J49" s="71"/>
      <c r="K49" s="71"/>
      <c r="L49" s="71"/>
      <c r="W49" s="71"/>
      <c r="X49" s="71"/>
      <c r="Y49" s="71"/>
      <c r="Z49" s="71"/>
      <c r="AA49" s="71"/>
      <c r="AB49" s="71"/>
      <c r="AC49" s="71"/>
      <c r="AF49" s="71"/>
      <c r="AG49" s="71"/>
      <c r="AH49" s="71"/>
      <c r="AJ49" s="71"/>
      <c r="AM49" s="71"/>
      <c r="AX49" s="71"/>
      <c r="AY49" s="71"/>
      <c r="AZ49" s="71"/>
      <c r="BA49" s="71"/>
      <c r="BB49" s="71"/>
      <c r="BC49" s="71"/>
      <c r="BK49" s="192"/>
    </row>
    <row r="50" spans="1:85" ht="15" customHeight="1" x14ac:dyDescent="0.45">
      <c r="A50" s="57"/>
      <c r="E50" s="71"/>
      <c r="F50" s="71"/>
      <c r="G50" s="71"/>
      <c r="H50" s="71"/>
      <c r="I50" s="71"/>
      <c r="J50" s="71"/>
      <c r="K50" s="71"/>
      <c r="L50" s="71"/>
      <c r="M50" s="71"/>
      <c r="U50" s="71"/>
      <c r="V50" s="71"/>
      <c r="W50" s="71"/>
      <c r="X50" s="71"/>
      <c r="Y50" s="71"/>
      <c r="Z50" s="71"/>
      <c r="AA50" s="71"/>
      <c r="AB50" s="71"/>
      <c r="AC50" s="71"/>
      <c r="AD50" s="71"/>
      <c r="AE50" s="71"/>
      <c r="AF50" s="71"/>
      <c r="AG50" s="71"/>
      <c r="AH50" s="71"/>
      <c r="AJ50" s="71"/>
      <c r="AK50" s="71"/>
      <c r="AL50" s="71"/>
      <c r="AM50" s="71"/>
      <c r="AX50" s="71"/>
      <c r="AY50" s="71"/>
      <c r="AZ50" s="71"/>
      <c r="BA50" s="71"/>
      <c r="BB50" s="71"/>
      <c r="BC50" s="71"/>
      <c r="BK50" s="192"/>
    </row>
    <row r="51" spans="1:85" ht="15" customHeight="1" x14ac:dyDescent="0.45">
      <c r="A51" s="57"/>
      <c r="E51" s="71"/>
      <c r="F51" s="71"/>
      <c r="G51" s="71"/>
      <c r="H51" s="71"/>
      <c r="I51" s="71"/>
      <c r="J51" s="71"/>
      <c r="K51" s="71"/>
      <c r="L51" s="71"/>
      <c r="M51" s="71"/>
      <c r="T51" s="71"/>
      <c r="U51" s="71"/>
      <c r="V51" s="71"/>
      <c r="W51" s="71"/>
      <c r="X51" s="71"/>
      <c r="Y51" s="71"/>
      <c r="Z51" s="71"/>
      <c r="AA51" s="71"/>
      <c r="AB51" s="71"/>
      <c r="AC51" s="71"/>
      <c r="AD51" s="71"/>
      <c r="AE51" s="71"/>
      <c r="AF51" s="71"/>
      <c r="AG51" s="71"/>
      <c r="AH51" s="71"/>
      <c r="AJ51" s="71"/>
      <c r="AK51" s="71"/>
      <c r="AL51" s="71"/>
      <c r="AM51" s="71"/>
      <c r="AX51" s="71"/>
      <c r="AY51" s="71"/>
      <c r="AZ51" s="71"/>
      <c r="BA51" s="71"/>
      <c r="BB51" s="71"/>
      <c r="BC51" s="71"/>
      <c r="BF51" s="71"/>
      <c r="BG51" s="71"/>
      <c r="BH51" s="71"/>
      <c r="BK51" s="192"/>
      <c r="BV51" s="71"/>
      <c r="BW51" s="71"/>
      <c r="BX51" s="71"/>
      <c r="BY51" s="71"/>
      <c r="CA51" s="71"/>
      <c r="CB51" s="71"/>
      <c r="CC51" s="71"/>
      <c r="CD51" s="71"/>
      <c r="CE51" s="71"/>
      <c r="CF51" s="71"/>
      <c r="CG51" s="71"/>
    </row>
    <row r="52" spans="1:85" ht="15" customHeight="1" x14ac:dyDescent="0.45">
      <c r="A52" s="57"/>
      <c r="E52" s="71"/>
      <c r="F52" s="71"/>
      <c r="G52" s="71"/>
      <c r="H52" s="71"/>
      <c r="I52" s="71"/>
      <c r="J52" s="71"/>
      <c r="K52" s="71"/>
      <c r="L52" s="71"/>
      <c r="M52" s="71"/>
      <c r="T52" s="71"/>
      <c r="U52" s="71"/>
      <c r="V52" s="71"/>
      <c r="W52" s="71"/>
      <c r="X52" s="71"/>
      <c r="Y52" s="71"/>
      <c r="Z52" s="71"/>
      <c r="AA52" s="71"/>
      <c r="AB52" s="71"/>
      <c r="AC52" s="71"/>
      <c r="AD52" s="71"/>
      <c r="AE52" s="71"/>
      <c r="AX52" s="71"/>
      <c r="AY52" s="71"/>
      <c r="AZ52" s="71"/>
      <c r="BA52" s="71"/>
      <c r="BB52" s="71"/>
      <c r="BC52" s="71"/>
      <c r="BK52" s="192"/>
    </row>
    <row r="53" spans="1:85" ht="15" customHeight="1" x14ac:dyDescent="0.45">
      <c r="A53" s="57"/>
      <c r="E53" s="71"/>
      <c r="F53" s="71"/>
      <c r="G53" s="71"/>
      <c r="H53" s="71"/>
      <c r="I53" s="71"/>
      <c r="J53" s="71"/>
      <c r="K53" s="71"/>
      <c r="L53" s="71"/>
      <c r="M53" s="71"/>
      <c r="N53" s="71"/>
      <c r="O53" s="71"/>
      <c r="P53" s="71"/>
      <c r="Q53" s="71"/>
      <c r="R53" s="71"/>
      <c r="S53" s="71"/>
      <c r="T53" s="71"/>
      <c r="AX53" s="71"/>
      <c r="AY53" s="71"/>
      <c r="AZ53" s="71"/>
      <c r="BA53" s="71"/>
      <c r="BB53" s="71"/>
      <c r="BC53" s="71"/>
      <c r="BK53" s="192"/>
      <c r="BL53" s="71"/>
    </row>
    <row r="54" spans="1:85" ht="15" customHeight="1" x14ac:dyDescent="0.45">
      <c r="A54" s="57"/>
      <c r="AH54" s="71"/>
      <c r="AI54" s="71"/>
      <c r="AJ54" s="71"/>
      <c r="AL54" s="71"/>
      <c r="AM54" s="71"/>
      <c r="AN54" s="71"/>
      <c r="AO54" s="71"/>
      <c r="AU54" s="71"/>
      <c r="BK54" s="192"/>
    </row>
    <row r="55" spans="1:85" ht="15" customHeight="1" x14ac:dyDescent="0.45">
      <c r="A55" s="57"/>
      <c r="BK55" s="192"/>
    </row>
    <row r="56" spans="1:85" ht="15" customHeight="1" x14ac:dyDescent="0.45">
      <c r="BK56" s="192"/>
    </row>
    <row r="57" spans="1:85" ht="15" customHeight="1" x14ac:dyDescent="0.45">
      <c r="BK57" s="192"/>
    </row>
    <row r="58" spans="1:85" ht="15" customHeight="1" x14ac:dyDescent="0.45">
      <c r="BK58" s="192"/>
    </row>
    <row r="59" spans="1:85" ht="15" customHeight="1" x14ac:dyDescent="0.45">
      <c r="BK59" s="192"/>
    </row>
    <row r="60" spans="1:85" ht="15" customHeight="1" x14ac:dyDescent="0.45">
      <c r="BK60" s="192"/>
    </row>
    <row r="61" spans="1:85" ht="15" customHeight="1" x14ac:dyDescent="0.45">
      <c r="BK61" s="192"/>
    </row>
    <row r="62" spans="1:85" ht="15" customHeight="1" x14ac:dyDescent="0.45">
      <c r="BK62" s="192"/>
    </row>
    <row r="63" spans="1:85" ht="15" customHeight="1" x14ac:dyDescent="0.45">
      <c r="BK63" s="192"/>
    </row>
    <row r="64" spans="1:85" ht="15" customHeight="1" x14ac:dyDescent="0.45">
      <c r="BK64" s="192"/>
    </row>
    <row r="65" spans="1:63" ht="15" customHeight="1" x14ac:dyDescent="0.45">
      <c r="BK65" s="192"/>
    </row>
    <row r="66" spans="1:63" ht="15" customHeight="1" x14ac:dyDescent="0.45">
      <c r="BK66" s="192"/>
    </row>
    <row r="67" spans="1:63" ht="15" customHeight="1" x14ac:dyDescent="0.45">
      <c r="BK67" s="192"/>
    </row>
    <row r="68" spans="1:63" ht="15" customHeight="1" x14ac:dyDescent="0.45">
      <c r="B68" s="71"/>
      <c r="C68" s="71"/>
      <c r="D68" s="71"/>
      <c r="E68" s="71"/>
      <c r="F68" s="71"/>
      <c r="G68" s="71"/>
      <c r="H68" s="71"/>
      <c r="BK68" s="192"/>
    </row>
    <row r="69" spans="1:63" ht="15" customHeight="1" x14ac:dyDescent="0.45">
      <c r="BK69" s="192"/>
    </row>
    <row r="70" spans="1:63" ht="15" customHeight="1" x14ac:dyDescent="0.45">
      <c r="BK70" s="192"/>
    </row>
    <row r="71" spans="1:63" ht="15" customHeight="1" x14ac:dyDescent="0.45">
      <c r="BK71" s="192"/>
    </row>
    <row r="72" spans="1:63" ht="15" customHeight="1" x14ac:dyDescent="0.45">
      <c r="BK72" s="192"/>
    </row>
    <row r="73" spans="1:63" ht="15" customHeight="1" x14ac:dyDescent="0.45">
      <c r="BK73" s="192"/>
    </row>
    <row r="74" spans="1:63" ht="15" customHeight="1" x14ac:dyDescent="0.45">
      <c r="A74" s="57"/>
      <c r="BK74" s="192"/>
    </row>
    <row r="75" spans="1:63" ht="15" customHeight="1" x14ac:dyDescent="0.45">
      <c r="A75" s="57"/>
      <c r="BK75" s="192"/>
    </row>
    <row r="76" spans="1:63" ht="15" customHeight="1" x14ac:dyDescent="0.45">
      <c r="A76" s="57"/>
      <c r="BK76" s="192"/>
    </row>
    <row r="77" spans="1:63" ht="15" customHeight="1" x14ac:dyDescent="0.45">
      <c r="A77" s="57"/>
      <c r="H77" s="189"/>
      <c r="I77" s="189"/>
      <c r="J77" s="189"/>
      <c r="BK77" s="192"/>
    </row>
    <row r="78" spans="1:63" ht="15" customHeight="1" x14ac:dyDescent="0.45">
      <c r="A78" s="57"/>
      <c r="H78" s="189"/>
      <c r="I78" s="189"/>
      <c r="J78" s="189"/>
      <c r="BK78" s="192"/>
    </row>
    <row r="79" spans="1:63" ht="15" customHeight="1" x14ac:dyDescent="0.45">
      <c r="A79" s="57"/>
      <c r="H79" s="189"/>
      <c r="I79" s="189"/>
      <c r="J79" s="189"/>
      <c r="BK79" s="192"/>
    </row>
    <row r="80" spans="1:63" ht="15" customHeight="1" x14ac:dyDescent="0.45">
      <c r="A80" s="57"/>
      <c r="H80" s="189"/>
      <c r="I80" s="189"/>
      <c r="J80" s="189"/>
      <c r="BK80" s="192"/>
    </row>
    <row r="81" spans="1:63" ht="15" customHeight="1" x14ac:dyDescent="0.45">
      <c r="A81" s="57"/>
      <c r="H81" s="189"/>
      <c r="I81" s="189"/>
      <c r="J81" s="189"/>
      <c r="BK81" s="192"/>
    </row>
    <row r="82" spans="1:63" ht="15" customHeight="1" x14ac:dyDescent="0.45">
      <c r="A82" s="57"/>
      <c r="BK82" s="192"/>
    </row>
    <row r="83" spans="1:63" ht="15" customHeight="1" x14ac:dyDescent="0.45">
      <c r="A83" s="57"/>
      <c r="BK83" s="192"/>
    </row>
    <row r="84" spans="1:63" ht="15" customHeight="1" x14ac:dyDescent="0.45">
      <c r="A84" s="57"/>
      <c r="BK84" s="192"/>
    </row>
    <row r="85" spans="1:63" ht="15" customHeight="1" x14ac:dyDescent="0.45">
      <c r="A85" s="57"/>
      <c r="K85" s="189"/>
      <c r="BK85" s="192"/>
    </row>
    <row r="86" spans="1:63" ht="15" customHeight="1" x14ac:dyDescent="0.45">
      <c r="A86" s="57"/>
      <c r="K86" s="189"/>
      <c r="BK86" s="192"/>
    </row>
    <row r="87" spans="1:63" ht="15" customHeight="1" x14ac:dyDescent="0.45">
      <c r="A87" s="57"/>
      <c r="K87" s="189"/>
      <c r="BK87" s="192"/>
    </row>
    <row r="88" spans="1:63" ht="15" customHeight="1" x14ac:dyDescent="0.45">
      <c r="A88" s="57"/>
      <c r="K88" s="189"/>
      <c r="BK88" s="192"/>
    </row>
    <row r="89" spans="1:63" ht="15" customHeight="1" x14ac:dyDescent="0.45">
      <c r="A89" s="57"/>
      <c r="K89" s="189"/>
      <c r="BK89" s="192"/>
    </row>
    <row r="90" spans="1:63" ht="15" customHeight="1" x14ac:dyDescent="0.45">
      <c r="A90" s="57"/>
      <c r="K90" s="189"/>
      <c r="BK90" s="192"/>
    </row>
    <row r="91" spans="1:63" ht="15" customHeight="1" x14ac:dyDescent="0.45">
      <c r="A91" s="57"/>
      <c r="K91" s="189"/>
      <c r="BK91" s="192"/>
    </row>
    <row r="92" spans="1:63" ht="15" customHeight="1" x14ac:dyDescent="0.45">
      <c r="A92" s="57"/>
      <c r="K92" s="189"/>
      <c r="BK92" s="192"/>
    </row>
    <row r="93" spans="1:63" ht="15" customHeight="1" x14ac:dyDescent="0.45">
      <c r="A93" s="57"/>
      <c r="K93" s="189"/>
      <c r="BK93" s="192"/>
    </row>
    <row r="94" spans="1:63" ht="15" customHeight="1" x14ac:dyDescent="0.45">
      <c r="A94" s="57"/>
      <c r="K94" s="189"/>
      <c r="BK94" s="192"/>
    </row>
    <row r="95" spans="1:63" ht="15" customHeight="1" x14ac:dyDescent="0.45">
      <c r="A95" s="57"/>
      <c r="K95" s="189"/>
      <c r="BK95" s="192"/>
    </row>
    <row r="96" spans="1:63" ht="15" customHeight="1" x14ac:dyDescent="0.45">
      <c r="A96" s="57"/>
      <c r="K96" s="189"/>
      <c r="BK96" s="192"/>
    </row>
    <row r="97" spans="1:63" ht="15" customHeight="1" x14ac:dyDescent="0.45">
      <c r="A97" s="57"/>
      <c r="K97" s="189"/>
      <c r="BK97" s="192"/>
    </row>
    <row r="98" spans="1:63" ht="15" customHeight="1" x14ac:dyDescent="0.45">
      <c r="A98" s="57"/>
      <c r="K98" s="189"/>
      <c r="BK98" s="192"/>
    </row>
    <row r="99" spans="1:63" ht="15" customHeight="1" x14ac:dyDescent="0.45">
      <c r="A99" s="57"/>
      <c r="K99" s="189"/>
      <c r="BK99" s="192"/>
    </row>
    <row r="100" spans="1:63" ht="15" customHeight="1" x14ac:dyDescent="0.45">
      <c r="A100" s="57"/>
      <c r="K100" s="189"/>
      <c r="BK100" s="192"/>
    </row>
    <row r="101" spans="1:63" ht="15" customHeight="1" x14ac:dyDescent="0.45">
      <c r="A101" s="57"/>
      <c r="K101" s="189"/>
      <c r="BK101" s="192"/>
    </row>
    <row r="102" spans="1:63" ht="15" customHeight="1" x14ac:dyDescent="0.45">
      <c r="A102" s="57"/>
      <c r="K102" s="189"/>
      <c r="BK102" s="192"/>
    </row>
    <row r="103" spans="1:63" ht="15" customHeight="1" x14ac:dyDescent="0.45">
      <c r="A103" s="57"/>
      <c r="K103" s="189"/>
      <c r="BK103" s="192"/>
    </row>
    <row r="104" spans="1:63" ht="15" customHeight="1" x14ac:dyDescent="0.45">
      <c r="A104" s="57"/>
      <c r="K104" s="189"/>
      <c r="BK104" s="192"/>
    </row>
    <row r="105" spans="1:63" ht="15" customHeight="1" x14ac:dyDescent="0.45">
      <c r="A105" s="57"/>
      <c r="K105" s="189"/>
      <c r="BK105" s="192"/>
    </row>
    <row r="106" spans="1:63" ht="15" customHeight="1" x14ac:dyDescent="0.45">
      <c r="A106" s="57"/>
      <c r="BK106" s="192"/>
    </row>
    <row r="107" spans="1:63" ht="15" customHeight="1" x14ac:dyDescent="0.45">
      <c r="A107" s="57"/>
      <c r="BK107" s="192"/>
    </row>
    <row r="108" spans="1:63" ht="15" customHeight="1" x14ac:dyDescent="0.45">
      <c r="A108" s="57"/>
      <c r="BK108" s="192"/>
    </row>
    <row r="109" spans="1:63" ht="15" customHeight="1" x14ac:dyDescent="0.45">
      <c r="A109" s="57"/>
      <c r="BK109" s="192"/>
    </row>
    <row r="110" spans="1:63" ht="15" customHeight="1" x14ac:dyDescent="0.45">
      <c r="A110" s="57"/>
      <c r="BK110" s="192"/>
    </row>
    <row r="111" spans="1:63" ht="15" customHeight="1" x14ac:dyDescent="0.45">
      <c r="BK111" s="192"/>
    </row>
    <row r="112" spans="1:63" ht="15" customHeight="1" x14ac:dyDescent="0.45">
      <c r="BK112" s="192"/>
    </row>
    <row r="113" spans="63:63" ht="15" customHeight="1" x14ac:dyDescent="0.45">
      <c r="BK113" s="192"/>
    </row>
    <row r="114" spans="63:63" ht="15" customHeight="1" x14ac:dyDescent="0.45">
      <c r="BK114" s="192"/>
    </row>
    <row r="115" spans="63:63" ht="15" customHeight="1" x14ac:dyDescent="0.45">
      <c r="BK115" s="192"/>
    </row>
    <row r="116" spans="63:63" ht="15" customHeight="1" x14ac:dyDescent="0.45">
      <c r="BK116" s="192"/>
    </row>
    <row r="117" spans="63:63" ht="15" customHeight="1" x14ac:dyDescent="0.45">
      <c r="BK117" s="192"/>
    </row>
    <row r="118" spans="63:63" ht="15" customHeight="1" x14ac:dyDescent="0.45">
      <c r="BK118" s="192"/>
    </row>
    <row r="119" spans="63:63" ht="15" customHeight="1" x14ac:dyDescent="0.45">
      <c r="BK119" s="192"/>
    </row>
    <row r="120" spans="63:63" ht="15" customHeight="1" x14ac:dyDescent="0.45">
      <c r="BK120" s="192"/>
    </row>
    <row r="121" spans="63:63" ht="15" customHeight="1" x14ac:dyDescent="0.45">
      <c r="BK121" s="192"/>
    </row>
    <row r="122" spans="63:63" ht="15" customHeight="1" x14ac:dyDescent="0.45">
      <c r="BK122" s="192"/>
    </row>
    <row r="123" spans="63:63" ht="15" customHeight="1" x14ac:dyDescent="0.45">
      <c r="BK123" s="192"/>
    </row>
    <row r="124" spans="63:63" ht="15" customHeight="1" x14ac:dyDescent="0.45">
      <c r="BK124" s="192"/>
    </row>
    <row r="125" spans="63:63" ht="15" customHeight="1" x14ac:dyDescent="0.45">
      <c r="BK125" s="192"/>
    </row>
    <row r="126" spans="63:63" ht="15" customHeight="1" x14ac:dyDescent="0.45">
      <c r="BK126" s="192"/>
    </row>
    <row r="127" spans="63:63" ht="15" customHeight="1" x14ac:dyDescent="0.45">
      <c r="BK127" s="192"/>
    </row>
    <row r="128" spans="63:63" ht="15" customHeight="1" x14ac:dyDescent="0.45">
      <c r="BK128" s="192"/>
    </row>
  </sheetData>
  <mergeCells count="2">
    <mergeCell ref="A1:BK1"/>
    <mergeCell ref="A2:E2"/>
  </mergeCells>
  <phoneticPr fontId="10"/>
  <pageMargins left="0.7" right="0.7" top="0.75" bottom="0.75" header="0.3" footer="0.3"/>
  <pageSetup paperSize="9" scale="70" orientation="landscape"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FB986-F2C2-41B6-A927-CA2F251D392E}">
  <sheetPr codeName="Sheet6"/>
  <dimension ref="A1:J52"/>
  <sheetViews>
    <sheetView view="pageBreakPreview" zoomScale="80" zoomScaleNormal="90" zoomScaleSheetLayoutView="80" workbookViewId="0">
      <selection sqref="A1:H1"/>
    </sheetView>
  </sheetViews>
  <sheetFormatPr defaultColWidth="8.6328125" defaultRowHeight="15" x14ac:dyDescent="0.45"/>
  <cols>
    <col min="1" max="1" width="10.36328125" style="85" customWidth="1"/>
    <col min="2" max="2" width="25.6328125" style="85" bestFit="1" customWidth="1"/>
    <col min="3" max="3" width="16.36328125" style="85" bestFit="1" customWidth="1"/>
    <col min="4" max="4" width="4.90625" style="85" customWidth="1"/>
    <col min="5" max="5" width="65.26953125" style="94" customWidth="1"/>
    <col min="6" max="6" width="41.08984375" style="94" customWidth="1"/>
    <col min="7" max="7" width="18.453125" style="94" customWidth="1"/>
    <col min="8" max="8" width="30.453125" style="85" customWidth="1"/>
    <col min="9" max="16384" width="8.6328125" style="85"/>
  </cols>
  <sheetData>
    <row r="1" spans="1:10" x14ac:dyDescent="0.3">
      <c r="A1" s="391" t="s">
        <v>393</v>
      </c>
      <c r="B1" s="391"/>
      <c r="C1" s="391"/>
      <c r="D1" s="391"/>
      <c r="E1" s="391"/>
      <c r="F1" s="391"/>
      <c r="G1" s="391"/>
      <c r="H1" s="391"/>
    </row>
    <row r="2" spans="1:10" s="89" customFormat="1" x14ac:dyDescent="0.3">
      <c r="A2" s="86" t="s">
        <v>394</v>
      </c>
      <c r="B2" s="87" t="s">
        <v>395</v>
      </c>
      <c r="C2" s="79" t="s">
        <v>396</v>
      </c>
      <c r="D2" s="79" t="s">
        <v>388</v>
      </c>
      <c r="E2" s="88" t="s">
        <v>397</v>
      </c>
      <c r="F2" s="88" t="s">
        <v>398</v>
      </c>
      <c r="G2" s="88" t="s">
        <v>399</v>
      </c>
      <c r="H2" s="79" t="s">
        <v>400</v>
      </c>
    </row>
    <row r="3" spans="1:10" s="89" customFormat="1" ht="92.4" customHeight="1" x14ac:dyDescent="0.45">
      <c r="A3" s="90" t="s">
        <v>401</v>
      </c>
      <c r="B3" s="91" t="s">
        <v>402</v>
      </c>
      <c r="C3" s="77" t="s">
        <v>403</v>
      </c>
      <c r="D3" s="77"/>
      <c r="E3" s="78" t="s">
        <v>404</v>
      </c>
      <c r="F3" s="78"/>
      <c r="G3" s="122"/>
      <c r="H3" s="308" t="s">
        <v>754</v>
      </c>
    </row>
    <row r="4" spans="1:10" s="89" customFormat="1" ht="96.6" customHeight="1" x14ac:dyDescent="0.45">
      <c r="A4" s="90" t="s">
        <v>405</v>
      </c>
      <c r="B4" s="77" t="s">
        <v>681</v>
      </c>
      <c r="C4" s="77" t="s">
        <v>407</v>
      </c>
      <c r="D4" s="174"/>
      <c r="E4" s="295" t="s">
        <v>872</v>
      </c>
      <c r="F4" s="78" t="s">
        <v>682</v>
      </c>
      <c r="G4" s="78"/>
      <c r="H4" s="78"/>
      <c r="I4" s="296"/>
      <c r="J4" s="123"/>
    </row>
    <row r="5" spans="1:10" s="89" customFormat="1" x14ac:dyDescent="0.3">
      <c r="A5" s="306"/>
      <c r="B5" s="303" t="s">
        <v>747</v>
      </c>
      <c r="C5" s="304"/>
      <c r="D5" s="304"/>
      <c r="E5" s="307"/>
      <c r="F5" s="307"/>
      <c r="G5" s="307"/>
      <c r="H5" s="304"/>
    </row>
    <row r="6" spans="1:10" s="89" customFormat="1" ht="67.8" customHeight="1" x14ac:dyDescent="0.45">
      <c r="A6" s="90" t="s">
        <v>749</v>
      </c>
      <c r="B6" s="78" t="s">
        <v>751</v>
      </c>
      <c r="C6" s="77" t="s">
        <v>407</v>
      </c>
      <c r="D6" s="92"/>
      <c r="E6" s="78" t="s">
        <v>739</v>
      </c>
      <c r="F6" s="78"/>
      <c r="G6" s="78"/>
      <c r="H6" s="78" t="s">
        <v>740</v>
      </c>
    </row>
    <row r="7" spans="1:10" s="89" customFormat="1" ht="74.400000000000006" customHeight="1" x14ac:dyDescent="0.45">
      <c r="A7" s="90" t="s">
        <v>750</v>
      </c>
      <c r="B7" s="77" t="s">
        <v>406</v>
      </c>
      <c r="C7" s="77" t="s">
        <v>407</v>
      </c>
      <c r="D7" s="77"/>
      <c r="E7" s="78" t="s">
        <v>683</v>
      </c>
      <c r="F7" s="78" t="s">
        <v>408</v>
      </c>
      <c r="G7" s="122"/>
      <c r="H7" s="121" t="s">
        <v>748</v>
      </c>
    </row>
    <row r="8" spans="1:10" ht="64.2" customHeight="1" x14ac:dyDescent="0.45">
      <c r="A8" s="90" t="s">
        <v>752</v>
      </c>
      <c r="B8" s="102" t="s">
        <v>753</v>
      </c>
      <c r="C8" s="77" t="s">
        <v>407</v>
      </c>
      <c r="D8" s="92"/>
      <c r="E8" s="78" t="s">
        <v>741</v>
      </c>
      <c r="F8" s="78"/>
      <c r="G8" s="78"/>
      <c r="H8" s="78" t="s">
        <v>416</v>
      </c>
    </row>
    <row r="9" spans="1:10" s="89" customFormat="1" ht="60" x14ac:dyDescent="0.45">
      <c r="A9" s="90" t="s">
        <v>684</v>
      </c>
      <c r="B9" s="91" t="s">
        <v>685</v>
      </c>
      <c r="C9" s="77" t="s">
        <v>532</v>
      </c>
      <c r="D9" s="174"/>
      <c r="E9" s="297" t="s">
        <v>812</v>
      </c>
      <c r="F9" s="78"/>
      <c r="G9" s="78"/>
      <c r="H9" s="293" t="s">
        <v>686</v>
      </c>
      <c r="I9" s="296"/>
    </row>
    <row r="10" spans="1:10" s="89" customFormat="1" ht="83.4" customHeight="1" x14ac:dyDescent="0.45">
      <c r="A10" s="90" t="s">
        <v>417</v>
      </c>
      <c r="B10" s="91" t="s">
        <v>687</v>
      </c>
      <c r="C10" s="77" t="s">
        <v>407</v>
      </c>
      <c r="D10" s="174"/>
      <c r="E10" s="298" t="s">
        <v>742</v>
      </c>
      <c r="F10" s="78" t="s">
        <v>688</v>
      </c>
      <c r="G10" s="293"/>
      <c r="H10" s="293"/>
    </row>
    <row r="11" spans="1:10" s="89" customFormat="1" ht="83.4" customHeight="1" x14ac:dyDescent="0.45">
      <c r="A11" s="310" t="s">
        <v>689</v>
      </c>
      <c r="B11" s="102" t="s">
        <v>755</v>
      </c>
      <c r="C11" s="77" t="s">
        <v>407</v>
      </c>
      <c r="D11" s="174"/>
      <c r="E11" s="298" t="s">
        <v>756</v>
      </c>
      <c r="F11" s="78"/>
      <c r="G11" s="293" t="s">
        <v>802</v>
      </c>
      <c r="H11" s="78" t="s">
        <v>435</v>
      </c>
    </row>
    <row r="12" spans="1:10" s="89" customFormat="1" ht="83.4" customHeight="1" x14ac:dyDescent="0.45">
      <c r="A12" s="310" t="s">
        <v>762</v>
      </c>
      <c r="B12" s="102" t="s">
        <v>757</v>
      </c>
      <c r="C12" s="77" t="s">
        <v>694</v>
      </c>
      <c r="D12" s="309"/>
      <c r="E12" s="78" t="s">
        <v>758</v>
      </c>
      <c r="F12" s="78"/>
      <c r="G12" s="293"/>
      <c r="H12" s="78" t="s">
        <v>696</v>
      </c>
    </row>
    <row r="13" spans="1:10" s="89" customFormat="1" ht="99" customHeight="1" x14ac:dyDescent="0.45">
      <c r="A13" s="310" t="s">
        <v>763</v>
      </c>
      <c r="B13" s="102" t="s">
        <v>759</v>
      </c>
      <c r="C13" s="77" t="s">
        <v>407</v>
      </c>
      <c r="D13" s="77"/>
      <c r="E13" s="78" t="s">
        <v>760</v>
      </c>
      <c r="F13" s="78"/>
      <c r="G13" s="293" t="s">
        <v>803</v>
      </c>
      <c r="H13" s="78" t="s">
        <v>424</v>
      </c>
    </row>
    <row r="14" spans="1:10" s="89" customFormat="1" ht="99" customHeight="1" x14ac:dyDescent="0.45">
      <c r="A14" s="310" t="s">
        <v>808</v>
      </c>
      <c r="B14" s="102" t="s">
        <v>761</v>
      </c>
      <c r="C14" s="77" t="s">
        <v>409</v>
      </c>
      <c r="D14" s="77"/>
      <c r="E14" s="78" t="s">
        <v>807</v>
      </c>
      <c r="F14" s="78"/>
      <c r="G14" s="179"/>
      <c r="H14" s="78" t="s">
        <v>696</v>
      </c>
    </row>
    <row r="15" spans="1:10" s="89" customFormat="1" ht="315" customHeight="1" x14ac:dyDescent="0.45">
      <c r="A15" s="396" t="s">
        <v>422</v>
      </c>
      <c r="B15" s="398" t="s">
        <v>691</v>
      </c>
      <c r="C15" s="400" t="s">
        <v>407</v>
      </c>
      <c r="D15" s="402"/>
      <c r="E15" s="204" t="s">
        <v>814</v>
      </c>
      <c r="F15" s="392"/>
      <c r="G15" s="392" t="s">
        <v>697</v>
      </c>
      <c r="H15" s="392" t="s">
        <v>690</v>
      </c>
    </row>
    <row r="16" spans="1:10" s="89" customFormat="1" ht="409.6" customHeight="1" x14ac:dyDescent="0.45">
      <c r="A16" s="397"/>
      <c r="B16" s="399"/>
      <c r="C16" s="401"/>
      <c r="D16" s="403"/>
      <c r="E16" s="190" t="s">
        <v>847</v>
      </c>
      <c r="F16" s="393"/>
      <c r="G16" s="393"/>
      <c r="H16" s="393"/>
    </row>
    <row r="17" spans="1:9" s="89" customFormat="1" ht="409.6" customHeight="1" x14ac:dyDescent="0.45">
      <c r="A17" s="404">
        <v>8</v>
      </c>
      <c r="B17" s="407" t="s">
        <v>743</v>
      </c>
      <c r="C17" s="410" t="s">
        <v>439</v>
      </c>
      <c r="D17" s="413"/>
      <c r="E17" s="299" t="s">
        <v>813</v>
      </c>
      <c r="F17" s="394"/>
      <c r="G17" s="300"/>
      <c r="H17" s="394"/>
    </row>
    <row r="18" spans="1:9" s="89" customFormat="1" ht="409.6" customHeight="1" x14ac:dyDescent="0.45">
      <c r="A18" s="405"/>
      <c r="B18" s="408"/>
      <c r="C18" s="411"/>
      <c r="D18" s="414"/>
      <c r="E18" s="190" t="s">
        <v>692</v>
      </c>
      <c r="F18" s="393"/>
      <c r="G18" s="190" t="s">
        <v>418</v>
      </c>
      <c r="H18" s="393"/>
    </row>
    <row r="19" spans="1:9" s="89" customFormat="1" ht="257.39999999999998" customHeight="1" x14ac:dyDescent="0.45">
      <c r="A19" s="405"/>
      <c r="B19" s="408"/>
      <c r="C19" s="411"/>
      <c r="D19" s="415"/>
      <c r="E19" s="321" t="s">
        <v>866</v>
      </c>
      <c r="F19" s="395"/>
      <c r="G19" s="181" t="s">
        <v>419</v>
      </c>
      <c r="H19" s="395"/>
    </row>
    <row r="20" spans="1:9" s="89" customFormat="1" ht="212.4" customHeight="1" x14ac:dyDescent="0.45">
      <c r="A20" s="406"/>
      <c r="B20" s="409"/>
      <c r="C20" s="412"/>
      <c r="D20" s="174"/>
      <c r="E20" s="78" t="s">
        <v>425</v>
      </c>
      <c r="F20" s="78"/>
      <c r="G20" s="78"/>
      <c r="H20" s="78" t="s">
        <v>426</v>
      </c>
    </row>
    <row r="21" spans="1:9" s="89" customFormat="1" ht="67.8" customHeight="1" x14ac:dyDescent="0.45">
      <c r="A21" s="90" t="s">
        <v>427</v>
      </c>
      <c r="B21" s="78" t="s">
        <v>693</v>
      </c>
      <c r="C21" s="77" t="s">
        <v>694</v>
      </c>
      <c r="D21" s="92"/>
      <c r="E21" s="78" t="s">
        <v>695</v>
      </c>
      <c r="F21" s="78"/>
      <c r="G21" s="78"/>
      <c r="H21" s="78" t="s">
        <v>696</v>
      </c>
    </row>
    <row r="22" spans="1:9" s="89" customFormat="1" ht="165" customHeight="1" x14ac:dyDescent="0.45">
      <c r="A22" s="310" t="s">
        <v>429</v>
      </c>
      <c r="B22" s="78" t="s">
        <v>698</v>
      </c>
      <c r="C22" s="77" t="s">
        <v>439</v>
      </c>
      <c r="D22" s="92"/>
      <c r="E22" s="78" t="s">
        <v>770</v>
      </c>
      <c r="F22" s="78"/>
      <c r="G22" s="78" t="s">
        <v>789</v>
      </c>
      <c r="H22" s="78" t="s">
        <v>700</v>
      </c>
    </row>
    <row r="23" spans="1:9" s="89" customFormat="1" ht="46.2" customHeight="1" x14ac:dyDescent="0.45">
      <c r="A23" s="90" t="s">
        <v>430</v>
      </c>
      <c r="B23" s="78" t="s">
        <v>410</v>
      </c>
      <c r="C23" s="77" t="s">
        <v>411</v>
      </c>
      <c r="D23" s="92"/>
      <c r="E23" s="78" t="s">
        <v>744</v>
      </c>
      <c r="F23" s="78"/>
      <c r="G23" s="78"/>
      <c r="H23" s="78" t="s">
        <v>699</v>
      </c>
    </row>
    <row r="24" spans="1:9" s="89" customFormat="1" ht="97.2" customHeight="1" x14ac:dyDescent="0.45">
      <c r="A24" s="90" t="s">
        <v>431</v>
      </c>
      <c r="B24" s="77" t="s">
        <v>412</v>
      </c>
      <c r="C24" s="77" t="s">
        <v>407</v>
      </c>
      <c r="D24" s="92"/>
      <c r="E24" s="78" t="s">
        <v>413</v>
      </c>
      <c r="F24" s="78"/>
      <c r="G24" s="78"/>
      <c r="H24" s="78" t="s">
        <v>701</v>
      </c>
    </row>
    <row r="25" spans="1:9" s="89" customFormat="1" ht="78" customHeight="1" x14ac:dyDescent="0.45">
      <c r="A25" s="290" t="s">
        <v>432</v>
      </c>
      <c r="B25" s="301" t="s">
        <v>702</v>
      </c>
      <c r="C25" s="291" t="s">
        <v>407</v>
      </c>
      <c r="D25" s="292"/>
      <c r="E25" s="293" t="s">
        <v>676</v>
      </c>
      <c r="F25" s="293" t="s">
        <v>677</v>
      </c>
      <c r="G25" s="78"/>
      <c r="H25" s="78" t="s">
        <v>435</v>
      </c>
    </row>
    <row r="26" spans="1:9" s="89" customFormat="1" x14ac:dyDescent="0.45">
      <c r="A26" s="90" t="s">
        <v>703</v>
      </c>
      <c r="B26" s="91" t="s">
        <v>414</v>
      </c>
      <c r="C26" s="77" t="s">
        <v>407</v>
      </c>
      <c r="D26" s="174"/>
      <c r="E26" s="78" t="s">
        <v>415</v>
      </c>
      <c r="F26" s="78"/>
      <c r="G26" s="78"/>
      <c r="H26" s="78" t="s">
        <v>416</v>
      </c>
    </row>
    <row r="27" spans="1:9" s="89" customFormat="1" ht="131.4" customHeight="1" x14ac:dyDescent="0.45">
      <c r="A27" s="90" t="s">
        <v>433</v>
      </c>
      <c r="B27" s="91" t="s">
        <v>428</v>
      </c>
      <c r="C27" s="77" t="s">
        <v>745</v>
      </c>
      <c r="D27" s="174" t="s">
        <v>421</v>
      </c>
      <c r="E27" s="78" t="s">
        <v>820</v>
      </c>
      <c r="F27" s="78"/>
      <c r="G27" s="78"/>
      <c r="H27" s="78" t="s">
        <v>704</v>
      </c>
      <c r="I27" s="89" t="s">
        <v>843</v>
      </c>
    </row>
    <row r="28" spans="1:9" s="89" customFormat="1" ht="409.6" customHeight="1" x14ac:dyDescent="0.45">
      <c r="A28" s="90" t="s">
        <v>436</v>
      </c>
      <c r="B28" s="91" t="s">
        <v>423</v>
      </c>
      <c r="C28" s="77" t="s">
        <v>407</v>
      </c>
      <c r="D28" s="174" t="s">
        <v>421</v>
      </c>
      <c r="E28" s="78" t="s">
        <v>805</v>
      </c>
      <c r="F28" s="78"/>
      <c r="G28" s="78" t="s">
        <v>804</v>
      </c>
      <c r="H28" s="78" t="s">
        <v>424</v>
      </c>
    </row>
    <row r="29" spans="1:9" s="89" customFormat="1" ht="184.8" customHeight="1" x14ac:dyDescent="0.45">
      <c r="A29" s="90" t="s">
        <v>437</v>
      </c>
      <c r="B29" s="91" t="s">
        <v>705</v>
      </c>
      <c r="C29" s="77" t="s">
        <v>411</v>
      </c>
      <c r="D29" s="174"/>
      <c r="E29" s="78" t="s">
        <v>821</v>
      </c>
      <c r="F29" s="78" t="s">
        <v>408</v>
      </c>
      <c r="G29" s="78"/>
      <c r="H29" s="78" t="s">
        <v>699</v>
      </c>
      <c r="I29" s="89" t="s">
        <v>843</v>
      </c>
    </row>
    <row r="30" spans="1:9" s="89" customFormat="1" ht="83.4" customHeight="1" x14ac:dyDescent="0.45">
      <c r="A30" s="90" t="s">
        <v>706</v>
      </c>
      <c r="B30" s="102" t="s">
        <v>707</v>
      </c>
      <c r="C30" s="77" t="s">
        <v>407</v>
      </c>
      <c r="D30" s="77"/>
      <c r="E30" s="78" t="s">
        <v>708</v>
      </c>
      <c r="F30" s="78" t="s">
        <v>408</v>
      </c>
      <c r="G30" s="179" t="s">
        <v>434</v>
      </c>
      <c r="H30" s="78" t="s">
        <v>435</v>
      </c>
    </row>
    <row r="31" spans="1:9" s="89" customFormat="1" ht="58.2" customHeight="1" x14ac:dyDescent="0.45">
      <c r="A31" s="90" t="s">
        <v>709</v>
      </c>
      <c r="B31" s="102" t="s">
        <v>710</v>
      </c>
      <c r="C31" s="77" t="s">
        <v>407</v>
      </c>
      <c r="D31" s="77"/>
      <c r="E31" s="78" t="s">
        <v>711</v>
      </c>
      <c r="F31" s="78"/>
      <c r="G31" s="179" t="s">
        <v>712</v>
      </c>
      <c r="H31" s="78" t="s">
        <v>435</v>
      </c>
    </row>
    <row r="32" spans="1:9" s="89" customFormat="1" ht="58.2" customHeight="1" x14ac:dyDescent="0.45">
      <c r="A32" s="90" t="s">
        <v>713</v>
      </c>
      <c r="B32" s="102" t="s">
        <v>714</v>
      </c>
      <c r="C32" s="77" t="s">
        <v>407</v>
      </c>
      <c r="D32" s="77"/>
      <c r="E32" s="78" t="s">
        <v>715</v>
      </c>
      <c r="F32" s="78"/>
      <c r="G32" s="179" t="s">
        <v>716</v>
      </c>
      <c r="H32" s="78" t="s">
        <v>435</v>
      </c>
    </row>
    <row r="33" spans="1:8" s="89" customFormat="1" ht="58.2" customHeight="1" x14ac:dyDescent="0.45">
      <c r="A33" s="90" t="s">
        <v>717</v>
      </c>
      <c r="B33" s="102" t="s">
        <v>718</v>
      </c>
      <c r="C33" s="77" t="s">
        <v>407</v>
      </c>
      <c r="D33" s="77"/>
      <c r="E33" s="78" t="s">
        <v>719</v>
      </c>
      <c r="F33" s="78"/>
      <c r="G33" s="179" t="s">
        <v>720</v>
      </c>
      <c r="H33" s="78" t="s">
        <v>435</v>
      </c>
    </row>
    <row r="34" spans="1:8" s="89" customFormat="1" ht="58.2" customHeight="1" x14ac:dyDescent="0.45">
      <c r="A34" s="90" t="s">
        <v>721</v>
      </c>
      <c r="B34" s="102" t="s">
        <v>722</v>
      </c>
      <c r="C34" s="77" t="s">
        <v>407</v>
      </c>
      <c r="D34" s="77"/>
      <c r="E34" s="78" t="s">
        <v>723</v>
      </c>
      <c r="F34" s="78"/>
      <c r="G34" s="179" t="s">
        <v>724</v>
      </c>
      <c r="H34" s="78" t="s">
        <v>435</v>
      </c>
    </row>
    <row r="35" spans="1:8" s="89" customFormat="1" ht="84" customHeight="1" x14ac:dyDescent="0.45">
      <c r="A35" s="90" t="s">
        <v>438</v>
      </c>
      <c r="B35" s="102" t="s">
        <v>725</v>
      </c>
      <c r="C35" s="77" t="s">
        <v>407</v>
      </c>
      <c r="D35" s="77"/>
      <c r="E35" s="78" t="s">
        <v>726</v>
      </c>
      <c r="F35" s="78" t="s">
        <v>408</v>
      </c>
      <c r="G35" s="78"/>
      <c r="H35" s="78" t="s">
        <v>727</v>
      </c>
    </row>
    <row r="36" spans="1:8" s="89" customFormat="1" ht="80.400000000000006" customHeight="1" x14ac:dyDescent="0.45">
      <c r="A36" s="90" t="s">
        <v>489</v>
      </c>
      <c r="B36" s="78" t="s">
        <v>746</v>
      </c>
      <c r="C36" s="77" t="s">
        <v>409</v>
      </c>
      <c r="D36" s="77"/>
      <c r="E36" s="78" t="s">
        <v>728</v>
      </c>
      <c r="F36" s="78" t="s">
        <v>408</v>
      </c>
      <c r="G36" s="179" t="s">
        <v>729</v>
      </c>
      <c r="H36" s="78" t="s">
        <v>730</v>
      </c>
    </row>
    <row r="37" spans="1:8" s="89" customFormat="1" ht="138" customHeight="1" x14ac:dyDescent="0.45">
      <c r="A37" s="310" t="s">
        <v>767</v>
      </c>
      <c r="B37" s="102" t="s">
        <v>764</v>
      </c>
      <c r="C37" s="77" t="s">
        <v>407</v>
      </c>
      <c r="D37" s="77"/>
      <c r="E37" s="78" t="s">
        <v>799</v>
      </c>
      <c r="F37" s="78"/>
      <c r="G37" s="293" t="s">
        <v>806</v>
      </c>
      <c r="H37" s="78" t="s">
        <v>424</v>
      </c>
    </row>
    <row r="38" spans="1:8" s="89" customFormat="1" ht="99" customHeight="1" x14ac:dyDescent="0.45">
      <c r="A38" s="310" t="s">
        <v>768</v>
      </c>
      <c r="B38" s="102" t="s">
        <v>765</v>
      </c>
      <c r="C38" s="77" t="s">
        <v>409</v>
      </c>
      <c r="D38" s="77"/>
      <c r="E38" s="78" t="s">
        <v>766</v>
      </c>
      <c r="F38" s="78"/>
      <c r="G38" s="179"/>
      <c r="H38" s="78" t="s">
        <v>696</v>
      </c>
    </row>
    <row r="39" spans="1:8" s="89" customFormat="1" ht="45.6" customHeight="1" x14ac:dyDescent="0.45">
      <c r="A39" s="90" t="s">
        <v>733</v>
      </c>
      <c r="B39" s="301" t="s">
        <v>811</v>
      </c>
      <c r="C39" s="77" t="s">
        <v>407</v>
      </c>
      <c r="D39" s="174"/>
      <c r="E39" s="78" t="s">
        <v>731</v>
      </c>
      <c r="F39" s="78"/>
      <c r="G39" s="78"/>
      <c r="H39" s="78" t="s">
        <v>732</v>
      </c>
    </row>
    <row r="40" spans="1:8" s="89" customFormat="1" ht="52.8" customHeight="1" x14ac:dyDescent="0.45">
      <c r="A40" s="90" t="s">
        <v>737</v>
      </c>
      <c r="B40" s="91" t="s">
        <v>734</v>
      </c>
      <c r="C40" s="77" t="s">
        <v>411</v>
      </c>
      <c r="D40" s="174"/>
      <c r="E40" s="78" t="s">
        <v>735</v>
      </c>
      <c r="F40" s="78"/>
      <c r="G40" s="78"/>
      <c r="H40" s="78" t="s">
        <v>699</v>
      </c>
    </row>
    <row r="41" spans="1:8" s="89" customFormat="1" x14ac:dyDescent="0.3">
      <c r="A41" s="302"/>
      <c r="B41" s="303" t="s">
        <v>736</v>
      </c>
      <c r="C41" s="304"/>
      <c r="D41" s="304"/>
      <c r="E41" s="305"/>
      <c r="F41" s="305"/>
      <c r="G41" s="305"/>
      <c r="H41" s="304"/>
    </row>
    <row r="42" spans="1:8" s="89" customFormat="1" ht="67.8" customHeight="1" x14ac:dyDescent="0.45">
      <c r="A42" s="290" t="s">
        <v>769</v>
      </c>
      <c r="B42" s="293" t="s">
        <v>738</v>
      </c>
      <c r="C42" s="77" t="s">
        <v>407</v>
      </c>
      <c r="D42" s="92"/>
      <c r="E42" s="78" t="s">
        <v>739</v>
      </c>
      <c r="F42" s="78"/>
      <c r="G42" s="78"/>
      <c r="H42" s="78" t="s">
        <v>740</v>
      </c>
    </row>
    <row r="43" spans="1:8" ht="64.2" customHeight="1" x14ac:dyDescent="0.45">
      <c r="A43" s="290" t="s">
        <v>494</v>
      </c>
      <c r="B43" s="301" t="s">
        <v>849</v>
      </c>
      <c r="C43" s="77" t="s">
        <v>407</v>
      </c>
      <c r="D43" s="174"/>
      <c r="E43" s="78" t="s">
        <v>850</v>
      </c>
      <c r="F43" s="78"/>
      <c r="G43" s="78"/>
      <c r="H43" s="78" t="s">
        <v>424</v>
      </c>
    </row>
    <row r="44" spans="1:8" s="89" customFormat="1" ht="45" x14ac:dyDescent="0.45">
      <c r="A44" s="290" t="s">
        <v>495</v>
      </c>
      <c r="B44" s="301" t="s">
        <v>809</v>
      </c>
      <c r="C44" s="77" t="s">
        <v>407</v>
      </c>
      <c r="D44" s="92"/>
      <c r="E44" s="78" t="s">
        <v>741</v>
      </c>
      <c r="F44" s="78"/>
      <c r="G44" s="78"/>
      <c r="H44" s="78" t="s">
        <v>816</v>
      </c>
    </row>
    <row r="45" spans="1:8" s="89" customFormat="1" x14ac:dyDescent="0.45">
      <c r="A45" s="159"/>
      <c r="B45" s="92"/>
      <c r="C45" s="77"/>
      <c r="D45" s="92"/>
      <c r="E45" s="93"/>
      <c r="F45" s="93"/>
      <c r="G45" s="93"/>
      <c r="H45" s="93"/>
    </row>
    <row r="46" spans="1:8" x14ac:dyDescent="0.45">
      <c r="A46" s="159"/>
      <c r="B46" s="92"/>
      <c r="C46" s="77"/>
      <c r="D46" s="92"/>
      <c r="E46" s="78"/>
      <c r="F46" s="78"/>
      <c r="G46" s="93"/>
      <c r="H46" s="93"/>
    </row>
    <row r="47" spans="1:8" x14ac:dyDescent="0.45">
      <c r="A47" s="90"/>
      <c r="B47" s="91"/>
      <c r="C47" s="77"/>
      <c r="D47" s="92"/>
      <c r="E47" s="78"/>
      <c r="F47" s="78"/>
      <c r="G47" s="78"/>
      <c r="H47" s="92"/>
    </row>
    <row r="48" spans="1:8" x14ac:dyDescent="0.45">
      <c r="A48" s="90"/>
      <c r="B48" s="92"/>
      <c r="C48" s="92"/>
      <c r="D48" s="92"/>
      <c r="E48" s="93"/>
      <c r="F48" s="93"/>
      <c r="G48" s="93"/>
      <c r="H48" s="92"/>
    </row>
    <row r="49" spans="1:8" x14ac:dyDescent="0.45">
      <c r="A49" s="90"/>
      <c r="B49" s="92"/>
      <c r="C49" s="92"/>
      <c r="D49" s="92"/>
      <c r="E49" s="93"/>
      <c r="F49" s="93"/>
      <c r="G49" s="93"/>
      <c r="H49" s="92"/>
    </row>
    <row r="50" spans="1:8" x14ac:dyDescent="0.45">
      <c r="A50" s="90"/>
      <c r="B50" s="92"/>
      <c r="C50" s="92"/>
      <c r="D50" s="92"/>
      <c r="E50" s="93"/>
      <c r="F50" s="93"/>
      <c r="G50" s="93"/>
      <c r="H50" s="92"/>
    </row>
    <row r="51" spans="1:8" x14ac:dyDescent="0.45">
      <c r="A51" s="90"/>
      <c r="B51" s="92"/>
      <c r="C51" s="92"/>
      <c r="D51" s="92"/>
      <c r="E51" s="93"/>
      <c r="F51" s="93"/>
      <c r="G51" s="93"/>
      <c r="H51" s="92"/>
    </row>
    <row r="52" spans="1:8" x14ac:dyDescent="0.45">
      <c r="A52" s="90"/>
      <c r="B52" s="92"/>
      <c r="C52" s="92"/>
      <c r="E52" s="93"/>
      <c r="F52" s="93"/>
      <c r="G52" s="93"/>
      <c r="H52" s="92"/>
    </row>
  </sheetData>
  <mergeCells count="14">
    <mergeCell ref="A1:H1"/>
    <mergeCell ref="G15:G16"/>
    <mergeCell ref="H15:H16"/>
    <mergeCell ref="H17:H19"/>
    <mergeCell ref="A15:A16"/>
    <mergeCell ref="B15:B16"/>
    <mergeCell ref="C15:C16"/>
    <mergeCell ref="D15:D16"/>
    <mergeCell ref="F15:F16"/>
    <mergeCell ref="A17:A20"/>
    <mergeCell ref="B17:B20"/>
    <mergeCell ref="C17:C20"/>
    <mergeCell ref="D17:D19"/>
    <mergeCell ref="F17:F19"/>
  </mergeCells>
  <phoneticPr fontId="10"/>
  <pageMargins left="0.7" right="0.7" top="0.75" bottom="0.75" header="0.3" footer="0.3"/>
  <pageSetup paperSize="9" scale="28" orientation="portrait" r:id="rId1"/>
  <rowBreaks count="1" manualBreakCount="1">
    <brk id="26" max="7" man="1"/>
  </rowBreaks>
  <ignoredErrors>
    <ignoredError sqref="A41 A27:A29 A21:A24 A9:A10 A15 A3:A4 A42 A43:A44" numberStoredAsText="1"/>
    <ignoredError sqref="A35:A36 A39:A40" twoDigitTextYear="1" numberStoredAsText="1"/>
    <ignoredError sqref="A33:A34 A31:A32 A38"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236C-DAF9-48C1-A78F-D6EF6D9A8AE7}">
  <sheetPr codeName="Sheet7"/>
  <dimension ref="A1:F25"/>
  <sheetViews>
    <sheetView showGridLines="0" view="pageBreakPreview" zoomScale="80" zoomScaleNormal="85" zoomScaleSheetLayoutView="80" workbookViewId="0">
      <selection sqref="A1:E1"/>
    </sheetView>
  </sheetViews>
  <sheetFormatPr defaultColWidth="2.453125" defaultRowHeight="15" customHeight="1" x14ac:dyDescent="0.45"/>
  <cols>
    <col min="1" max="1" width="3.453125" style="80" bestFit="1" customWidth="1"/>
    <col min="2" max="2" width="9" style="100" customWidth="1"/>
    <col min="3" max="3" width="24.6328125" style="80" customWidth="1"/>
    <col min="4" max="4" width="181.453125" style="80" customWidth="1"/>
    <col min="5" max="5" width="52" style="80" customWidth="1"/>
    <col min="6" max="16384" width="2.453125" style="80"/>
  </cols>
  <sheetData>
    <row r="1" spans="1:6" ht="15" customHeight="1" x14ac:dyDescent="0.45">
      <c r="A1" s="333" t="s">
        <v>440</v>
      </c>
      <c r="B1" s="334"/>
      <c r="C1" s="334"/>
      <c r="D1" s="334"/>
      <c r="E1" s="334"/>
    </row>
    <row r="2" spans="1:6" ht="28.05" customHeight="1" x14ac:dyDescent="0.45">
      <c r="A2" s="81" t="s">
        <v>441</v>
      </c>
      <c r="B2" s="81" t="s">
        <v>442</v>
      </c>
      <c r="C2" s="81" t="s">
        <v>443</v>
      </c>
      <c r="D2" s="81" t="s">
        <v>444</v>
      </c>
      <c r="E2" s="96" t="s">
        <v>445</v>
      </c>
    </row>
    <row r="3" spans="1:6" ht="319.2" customHeight="1" x14ac:dyDescent="0.45">
      <c r="A3" s="416" t="s">
        <v>446</v>
      </c>
      <c r="B3" s="419" t="s">
        <v>447</v>
      </c>
      <c r="C3" s="421" t="s">
        <v>678</v>
      </c>
      <c r="D3" s="175" t="s">
        <v>867</v>
      </c>
      <c r="E3" s="424"/>
    </row>
    <row r="4" spans="1:6" ht="328.2" customHeight="1" x14ac:dyDescent="0.45">
      <c r="A4" s="417"/>
      <c r="B4" s="420"/>
      <c r="C4" s="422"/>
      <c r="D4" s="180" t="s">
        <v>817</v>
      </c>
      <c r="E4" s="425"/>
    </row>
    <row r="5" spans="1:6" ht="409.2" customHeight="1" x14ac:dyDescent="0.45">
      <c r="A5" s="418"/>
      <c r="B5" s="401"/>
      <c r="C5" s="423"/>
      <c r="D5" s="176" t="s">
        <v>868</v>
      </c>
      <c r="E5" s="426"/>
    </row>
    <row r="6" spans="1:6" ht="409.6" customHeight="1" x14ac:dyDescent="0.45">
      <c r="A6" s="95" t="s">
        <v>449</v>
      </c>
      <c r="B6" s="97" t="s">
        <v>450</v>
      </c>
      <c r="C6" s="83" t="s">
        <v>448</v>
      </c>
      <c r="D6" s="84" t="s">
        <v>679</v>
      </c>
      <c r="E6" s="84" t="s">
        <v>451</v>
      </c>
    </row>
    <row r="7" spans="1:6" ht="409.6" customHeight="1" x14ac:dyDescent="0.45">
      <c r="A7" s="95" t="s">
        <v>452</v>
      </c>
      <c r="B7" s="97" t="s">
        <v>447</v>
      </c>
      <c r="C7" s="83" t="s">
        <v>448</v>
      </c>
      <c r="D7" s="177" t="s">
        <v>865</v>
      </c>
      <c r="E7" s="83"/>
    </row>
    <row r="8" spans="1:6" ht="91.8" customHeight="1" x14ac:dyDescent="0.45">
      <c r="A8" s="314" t="s">
        <v>800</v>
      </c>
      <c r="B8" s="315" t="s">
        <v>447</v>
      </c>
      <c r="C8" s="83" t="s">
        <v>790</v>
      </c>
      <c r="D8" s="84" t="s">
        <v>795</v>
      </c>
      <c r="E8" s="84"/>
      <c r="F8" s="80" t="s">
        <v>791</v>
      </c>
    </row>
    <row r="9" spans="1:6" ht="71.400000000000006" customHeight="1" x14ac:dyDescent="0.45">
      <c r="A9" s="314" t="s">
        <v>455</v>
      </c>
      <c r="B9" s="315" t="s">
        <v>796</v>
      </c>
      <c r="C9" s="83" t="s">
        <v>790</v>
      </c>
      <c r="D9" s="84" t="s">
        <v>797</v>
      </c>
      <c r="E9" s="84"/>
      <c r="F9" s="80" t="s">
        <v>792</v>
      </c>
    </row>
    <row r="10" spans="1:6" ht="75" customHeight="1" x14ac:dyDescent="0.45">
      <c r="A10" s="314" t="s">
        <v>456</v>
      </c>
      <c r="B10" s="315" t="s">
        <v>525</v>
      </c>
      <c r="C10" s="83" t="s">
        <v>790</v>
      </c>
      <c r="D10" s="84" t="s">
        <v>798</v>
      </c>
      <c r="E10" s="84"/>
      <c r="F10" s="80" t="s">
        <v>792</v>
      </c>
    </row>
    <row r="11" spans="1:6" ht="114.6" customHeight="1" x14ac:dyDescent="0.45">
      <c r="A11" s="314" t="s">
        <v>465</v>
      </c>
      <c r="B11" s="315" t="s">
        <v>535</v>
      </c>
      <c r="C11" s="83" t="s">
        <v>794</v>
      </c>
      <c r="D11" s="84" t="s">
        <v>810</v>
      </c>
      <c r="E11" s="84"/>
      <c r="F11" s="80" t="s">
        <v>792</v>
      </c>
    </row>
    <row r="12" spans="1:6" ht="343.8" customHeight="1" x14ac:dyDescent="0.45">
      <c r="A12" s="95" t="s">
        <v>793</v>
      </c>
      <c r="B12" s="97" t="s">
        <v>454</v>
      </c>
      <c r="C12" s="83"/>
      <c r="D12" s="177" t="s">
        <v>869</v>
      </c>
      <c r="E12" s="83"/>
    </row>
    <row r="13" spans="1:6" ht="409.6" customHeight="1" x14ac:dyDescent="0.45">
      <c r="A13" s="95" t="s">
        <v>801</v>
      </c>
      <c r="B13" s="97" t="s">
        <v>454</v>
      </c>
      <c r="C13" s="83"/>
      <c r="D13" s="178" t="s">
        <v>870</v>
      </c>
      <c r="E13" s="83"/>
    </row>
    <row r="14" spans="1:6" ht="328.8" customHeight="1" x14ac:dyDescent="0.45">
      <c r="A14" s="95">
        <v>10</v>
      </c>
      <c r="B14" s="97" t="s">
        <v>454</v>
      </c>
      <c r="C14" s="83"/>
      <c r="D14" s="177" t="s">
        <v>871</v>
      </c>
      <c r="E14" s="83"/>
    </row>
    <row r="15" spans="1:6" ht="18.600000000000001" customHeight="1" x14ac:dyDescent="0.45">
      <c r="A15" s="95"/>
      <c r="B15" s="97"/>
      <c r="C15" s="83"/>
      <c r="D15" s="177"/>
      <c r="E15" s="83"/>
    </row>
    <row r="16" spans="1:6" ht="15" customHeight="1" x14ac:dyDescent="0.45">
      <c r="A16" s="95"/>
      <c r="B16" s="97"/>
      <c r="C16" s="83"/>
      <c r="D16" s="83"/>
      <c r="E16" s="83"/>
    </row>
    <row r="17" spans="1:5" ht="15" customHeight="1" x14ac:dyDescent="0.45">
      <c r="A17" s="95"/>
      <c r="B17" s="97"/>
      <c r="C17" s="83"/>
      <c r="D17" s="83"/>
      <c r="E17" s="83"/>
    </row>
    <row r="18" spans="1:5" ht="15" customHeight="1" x14ac:dyDescent="0.45">
      <c r="A18" s="95"/>
      <c r="B18" s="98"/>
      <c r="C18" s="83"/>
      <c r="D18" s="83"/>
      <c r="E18" s="83"/>
    </row>
    <row r="19" spans="1:5" ht="15" customHeight="1" x14ac:dyDescent="0.45">
      <c r="A19" s="95"/>
      <c r="B19" s="98"/>
      <c r="C19" s="83"/>
      <c r="D19" s="83"/>
      <c r="E19" s="83"/>
    </row>
    <row r="20" spans="1:5" ht="15" customHeight="1" x14ac:dyDescent="0.45">
      <c r="A20" s="95"/>
      <c r="B20" s="98"/>
      <c r="C20" s="83"/>
      <c r="D20" s="83"/>
      <c r="E20" s="83"/>
    </row>
    <row r="21" spans="1:5" ht="15" customHeight="1" x14ac:dyDescent="0.45">
      <c r="A21" s="95"/>
      <c r="B21" s="98"/>
      <c r="C21" s="83"/>
      <c r="D21" s="83"/>
      <c r="E21" s="83"/>
    </row>
    <row r="22" spans="1:5" ht="13.05" customHeight="1" x14ac:dyDescent="0.45">
      <c r="A22" s="95"/>
      <c r="B22" s="98"/>
      <c r="C22" s="83"/>
      <c r="D22" s="83"/>
      <c r="E22" s="83"/>
    </row>
    <row r="23" spans="1:5" ht="15" hidden="1" customHeight="1" x14ac:dyDescent="0.45">
      <c r="A23" s="95"/>
      <c r="B23" s="99"/>
    </row>
    <row r="24" spans="1:5" ht="13.05" customHeight="1" x14ac:dyDescent="0.45">
      <c r="A24" s="95"/>
      <c r="B24" s="98"/>
      <c r="C24" s="83"/>
      <c r="D24" s="83"/>
      <c r="E24" s="83"/>
    </row>
    <row r="25" spans="1:5" ht="13.05" customHeight="1" x14ac:dyDescent="0.45">
      <c r="A25" s="95"/>
      <c r="B25" s="98"/>
      <c r="C25" s="83"/>
      <c r="D25" s="83"/>
      <c r="E25" s="83"/>
    </row>
  </sheetData>
  <mergeCells count="5">
    <mergeCell ref="A1:E1"/>
    <mergeCell ref="A3:A5"/>
    <mergeCell ref="B3:B5"/>
    <mergeCell ref="C3:C5"/>
    <mergeCell ref="E3:E5"/>
  </mergeCells>
  <phoneticPr fontId="10"/>
  <pageMargins left="0.7" right="0.7" top="0.75" bottom="0.75" header="0.3" footer="0.3"/>
  <pageSetup paperSize="9" scale="29" orientation="landscape" verticalDpi="90" r:id="rId1"/>
  <rowBreaks count="2" manualBreakCount="2">
    <brk id="11" max="4" man="1"/>
    <brk id="13"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72E30-D4BA-4DEB-997B-2EB407988483}">
  <sheetPr codeName="Sheet8"/>
  <dimension ref="A1:F22"/>
  <sheetViews>
    <sheetView showGridLines="0" view="pageBreakPreview" zoomScale="90" zoomScaleNormal="85" zoomScaleSheetLayoutView="90" workbookViewId="0">
      <selection sqref="A1:E1"/>
    </sheetView>
  </sheetViews>
  <sheetFormatPr defaultColWidth="2.453125" defaultRowHeight="12.9" customHeight="1" x14ac:dyDescent="0.45"/>
  <cols>
    <col min="1" max="1" width="3.453125" style="80" bestFit="1" customWidth="1"/>
    <col min="2" max="2" width="26.26953125" style="80" customWidth="1"/>
    <col min="3" max="3" width="51.36328125" style="80" customWidth="1"/>
    <col min="4" max="4" width="56" style="80" customWidth="1"/>
    <col min="5" max="5" width="66.90625" style="80" customWidth="1"/>
    <col min="6" max="16384" width="2.453125" style="80"/>
  </cols>
  <sheetData>
    <row r="1" spans="1:6" ht="12.9" customHeight="1" x14ac:dyDescent="0.45">
      <c r="A1" s="333" t="s">
        <v>848</v>
      </c>
      <c r="B1" s="334"/>
      <c r="C1" s="334"/>
      <c r="D1" s="334"/>
      <c r="E1" s="334"/>
    </row>
    <row r="2" spans="1:6" ht="12.9" customHeight="1" x14ac:dyDescent="0.45">
      <c r="A2" s="81" t="s">
        <v>441</v>
      </c>
      <c r="B2" s="81" t="s">
        <v>457</v>
      </c>
      <c r="C2" s="81" t="s">
        <v>458</v>
      </c>
      <c r="D2" s="81" t="s">
        <v>459</v>
      </c>
      <c r="E2" s="81" t="s">
        <v>460</v>
      </c>
    </row>
    <row r="3" spans="1:6" ht="14.4" x14ac:dyDescent="0.45">
      <c r="A3" s="95" t="s">
        <v>446</v>
      </c>
      <c r="B3" s="294" t="s">
        <v>680</v>
      </c>
      <c r="C3" s="84" t="s">
        <v>461</v>
      </c>
      <c r="D3" s="101"/>
      <c r="E3" s="84" t="s">
        <v>462</v>
      </c>
    </row>
    <row r="4" spans="1:6" ht="35.4" customHeight="1" x14ac:dyDescent="0.45">
      <c r="A4" s="95" t="s">
        <v>463</v>
      </c>
      <c r="B4" s="83" t="s">
        <v>822</v>
      </c>
      <c r="C4" s="84" t="s">
        <v>834</v>
      </c>
      <c r="D4" s="84" t="s">
        <v>839</v>
      </c>
      <c r="E4" s="84"/>
    </row>
    <row r="5" spans="1:6" ht="21" customHeight="1" x14ac:dyDescent="0.45">
      <c r="A5" s="95" t="s">
        <v>464</v>
      </c>
      <c r="B5" s="83" t="s">
        <v>823</v>
      </c>
      <c r="C5" s="83" t="s">
        <v>835</v>
      </c>
      <c r="D5" s="84" t="s">
        <v>836</v>
      </c>
      <c r="E5" s="84"/>
    </row>
    <row r="6" spans="1:6" ht="22.2" customHeight="1" x14ac:dyDescent="0.45">
      <c r="A6" s="95" t="s">
        <v>453</v>
      </c>
      <c r="B6" s="83" t="s">
        <v>824</v>
      </c>
      <c r="C6" s="83" t="s">
        <v>838</v>
      </c>
      <c r="D6" s="84" t="s">
        <v>837</v>
      </c>
      <c r="E6" s="84"/>
    </row>
    <row r="7" spans="1:6" ht="42" customHeight="1" x14ac:dyDescent="0.45">
      <c r="A7" s="95" t="s">
        <v>455</v>
      </c>
      <c r="B7" s="83" t="s">
        <v>825</v>
      </c>
      <c r="C7" s="83" t="s">
        <v>841</v>
      </c>
      <c r="D7" s="101" t="s">
        <v>840</v>
      </c>
      <c r="E7" s="84"/>
    </row>
    <row r="8" spans="1:6" ht="14.4" customHeight="1" x14ac:dyDescent="0.45">
      <c r="A8" s="95" t="s">
        <v>456</v>
      </c>
      <c r="B8" s="83" t="s">
        <v>845</v>
      </c>
      <c r="C8" s="84" t="s">
        <v>362</v>
      </c>
      <c r="D8" s="84" t="s">
        <v>846</v>
      </c>
      <c r="E8" s="84"/>
      <c r="F8" s="80" t="s">
        <v>844</v>
      </c>
    </row>
    <row r="9" spans="1:6" ht="16.2" customHeight="1" x14ac:dyDescent="0.45">
      <c r="A9" s="95" t="s">
        <v>465</v>
      </c>
      <c r="B9" s="83" t="s">
        <v>830</v>
      </c>
      <c r="C9" s="84" t="s">
        <v>842</v>
      </c>
      <c r="D9" s="84" t="s">
        <v>826</v>
      </c>
      <c r="E9" s="83"/>
      <c r="F9" s="80" t="s">
        <v>844</v>
      </c>
    </row>
    <row r="10" spans="1:6" ht="18" customHeight="1" x14ac:dyDescent="0.45">
      <c r="A10" s="95" t="s">
        <v>466</v>
      </c>
      <c r="B10" s="83" t="s">
        <v>831</v>
      </c>
      <c r="C10" s="84" t="s">
        <v>842</v>
      </c>
      <c r="D10" s="84" t="s">
        <v>827</v>
      </c>
      <c r="E10" s="83"/>
      <c r="F10" s="80" t="s">
        <v>844</v>
      </c>
    </row>
    <row r="11" spans="1:6" ht="19.8" customHeight="1" x14ac:dyDescent="0.45">
      <c r="A11" s="95" t="s">
        <v>467</v>
      </c>
      <c r="B11" s="83" t="s">
        <v>832</v>
      </c>
      <c r="C11" s="84" t="s">
        <v>842</v>
      </c>
      <c r="D11" s="84" t="s">
        <v>828</v>
      </c>
      <c r="E11" s="83"/>
      <c r="F11" s="80" t="s">
        <v>844</v>
      </c>
    </row>
    <row r="12" spans="1:6" ht="12.9" customHeight="1" x14ac:dyDescent="0.45">
      <c r="A12" s="82">
        <v>10</v>
      </c>
      <c r="B12" s="83" t="s">
        <v>833</v>
      </c>
      <c r="C12" s="84" t="s">
        <v>842</v>
      </c>
      <c r="D12" s="83" t="s">
        <v>829</v>
      </c>
      <c r="E12" s="83"/>
    </row>
    <row r="13" spans="1:6" ht="12.9" customHeight="1" x14ac:dyDescent="0.45">
      <c r="A13" s="82">
        <v>11</v>
      </c>
      <c r="B13" s="83"/>
      <c r="C13" s="83"/>
      <c r="D13" s="83"/>
      <c r="E13" s="83"/>
    </row>
    <row r="14" spans="1:6" ht="12.9" customHeight="1" x14ac:dyDescent="0.45">
      <c r="A14" s="82">
        <v>12</v>
      </c>
      <c r="B14" s="83"/>
      <c r="C14" s="83"/>
      <c r="D14" s="83"/>
      <c r="E14" s="83"/>
    </row>
    <row r="15" spans="1:6" ht="12.9" customHeight="1" x14ac:dyDescent="0.45">
      <c r="A15" s="82">
        <v>13</v>
      </c>
      <c r="B15" s="83"/>
      <c r="C15" s="83"/>
      <c r="D15" s="83"/>
      <c r="E15" s="83"/>
    </row>
    <row r="16" spans="1:6" ht="12.9" customHeight="1" x14ac:dyDescent="0.45">
      <c r="A16" s="82">
        <v>14</v>
      </c>
      <c r="B16" s="83"/>
      <c r="C16" s="83"/>
      <c r="D16" s="83"/>
      <c r="E16" s="83"/>
    </row>
    <row r="17" spans="1:5" ht="12.9" customHeight="1" x14ac:dyDescent="0.45">
      <c r="A17" s="82">
        <v>15</v>
      </c>
      <c r="B17" s="83"/>
      <c r="C17" s="83"/>
      <c r="D17" s="83"/>
      <c r="E17" s="83"/>
    </row>
    <row r="18" spans="1:5" ht="12.9" customHeight="1" x14ac:dyDescent="0.45">
      <c r="A18" s="82">
        <v>16</v>
      </c>
      <c r="B18" s="83"/>
      <c r="C18" s="83"/>
      <c r="D18" s="83"/>
      <c r="E18" s="83"/>
    </row>
    <row r="19" spans="1:5" ht="12.9" customHeight="1" x14ac:dyDescent="0.45">
      <c r="A19" s="82">
        <v>17</v>
      </c>
      <c r="B19" s="83"/>
      <c r="C19" s="83"/>
      <c r="D19" s="83"/>
      <c r="E19" s="83"/>
    </row>
    <row r="20" spans="1:5" ht="12.9" customHeight="1" x14ac:dyDescent="0.45">
      <c r="A20" s="82">
        <v>18</v>
      </c>
      <c r="B20" s="83"/>
      <c r="C20" s="83"/>
      <c r="D20" s="83"/>
      <c r="E20" s="83"/>
    </row>
    <row r="21" spans="1:5" ht="12.9" customHeight="1" x14ac:dyDescent="0.45">
      <c r="A21" s="82">
        <v>19</v>
      </c>
      <c r="B21" s="83"/>
      <c r="C21" s="83"/>
      <c r="D21" s="83"/>
      <c r="E21" s="83"/>
    </row>
    <row r="22" spans="1:5" ht="12.9" customHeight="1" x14ac:dyDescent="0.45">
      <c r="A22" s="82">
        <v>20</v>
      </c>
      <c r="B22" s="83"/>
      <c r="C22" s="83"/>
      <c r="D22" s="83"/>
      <c r="E22" s="83"/>
    </row>
  </sheetData>
  <mergeCells count="1">
    <mergeCell ref="A1:E1"/>
  </mergeCells>
  <phoneticPr fontId="10"/>
  <pageMargins left="0.7" right="0.7" top="0.75" bottom="0.75" header="0.3" footer="0.3"/>
  <pageSetup paperSize="9" scale="57" orientation="landscape" verticalDpi="90" r:id="rId1"/>
  <ignoredErrors>
    <ignoredError sqref="A3:A1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A76BB-041A-4023-81C6-93F3B6E789B5}">
  <sheetPr codeName="Sheet9"/>
  <dimension ref="A1:H26"/>
  <sheetViews>
    <sheetView showGridLines="0" tabSelected="1" view="pageBreakPreview" zoomScale="90" zoomScaleNormal="85" zoomScaleSheetLayoutView="90" workbookViewId="0">
      <selection activeCell="D3" sqref="D3"/>
    </sheetView>
  </sheetViews>
  <sheetFormatPr defaultColWidth="2.453125" defaultRowHeight="15" customHeight="1" x14ac:dyDescent="0.45"/>
  <cols>
    <col min="1" max="1" width="3.453125" style="80" bestFit="1" customWidth="1"/>
    <col min="2" max="2" width="5.08984375" style="100" customWidth="1"/>
    <col min="3" max="3" width="82.26953125" style="80" customWidth="1"/>
    <col min="4" max="4" width="68.90625" style="80" bestFit="1" customWidth="1"/>
    <col min="5" max="5" width="8.90625" style="80" bestFit="1" customWidth="1"/>
    <col min="6" max="6" width="14.90625" style="80" customWidth="1"/>
    <col min="7" max="7" width="7.90625" style="80" bestFit="1" customWidth="1"/>
    <col min="8" max="8" width="52" style="80" customWidth="1"/>
    <col min="9" max="16384" width="2.453125" style="80"/>
  </cols>
  <sheetData>
    <row r="1" spans="1:8" ht="15" customHeight="1" x14ac:dyDescent="0.45">
      <c r="A1" s="333" t="s">
        <v>468</v>
      </c>
      <c r="B1" s="334"/>
      <c r="C1" s="334"/>
      <c r="D1" s="334"/>
      <c r="E1" s="334"/>
      <c r="F1" s="334"/>
      <c r="G1" s="334"/>
      <c r="H1" s="334"/>
    </row>
    <row r="2" spans="1:8" ht="27.9" customHeight="1" x14ac:dyDescent="0.45">
      <c r="A2" s="81" t="s">
        <v>441</v>
      </c>
      <c r="B2" s="81" t="s">
        <v>442</v>
      </c>
      <c r="C2" s="81" t="s">
        <v>469</v>
      </c>
      <c r="D2" s="81" t="s">
        <v>470</v>
      </c>
      <c r="E2" s="81" t="s">
        <v>471</v>
      </c>
      <c r="F2" s="81" t="s">
        <v>472</v>
      </c>
      <c r="G2" s="81" t="s">
        <v>473</v>
      </c>
      <c r="H2" s="96" t="s">
        <v>474</v>
      </c>
    </row>
    <row r="3" spans="1:8" ht="103.2" customHeight="1" x14ac:dyDescent="0.45">
      <c r="A3" s="95" t="s">
        <v>446</v>
      </c>
      <c r="B3" s="97" t="s">
        <v>475</v>
      </c>
      <c r="C3" s="84" t="s">
        <v>851</v>
      </c>
      <c r="D3" s="317" t="s">
        <v>819</v>
      </c>
      <c r="E3" s="83" t="s">
        <v>476</v>
      </c>
      <c r="F3" s="83" t="s">
        <v>477</v>
      </c>
      <c r="G3" s="84" t="s">
        <v>478</v>
      </c>
      <c r="H3" s="84" t="s">
        <v>479</v>
      </c>
    </row>
    <row r="4" spans="1:8" ht="107.4" customHeight="1" x14ac:dyDescent="0.45">
      <c r="A4" s="95" t="s">
        <v>463</v>
      </c>
      <c r="B4" s="97" t="s">
        <v>475</v>
      </c>
      <c r="C4" s="84" t="s">
        <v>852</v>
      </c>
      <c r="D4" s="317" t="s">
        <v>819</v>
      </c>
      <c r="E4" s="83" t="s">
        <v>476</v>
      </c>
      <c r="F4" s="83" t="s">
        <v>480</v>
      </c>
      <c r="G4" s="84" t="s">
        <v>478</v>
      </c>
      <c r="H4" s="84" t="s">
        <v>479</v>
      </c>
    </row>
    <row r="5" spans="1:8" ht="98.4" customHeight="1" x14ac:dyDescent="0.45">
      <c r="A5" s="95" t="s">
        <v>464</v>
      </c>
      <c r="B5" s="97" t="s">
        <v>475</v>
      </c>
      <c r="C5" s="84" t="s">
        <v>858</v>
      </c>
      <c r="D5" s="317" t="s">
        <v>819</v>
      </c>
      <c r="E5" s="83" t="s">
        <v>476</v>
      </c>
      <c r="F5" s="83" t="s">
        <v>477</v>
      </c>
      <c r="G5" s="84" t="s">
        <v>478</v>
      </c>
      <c r="H5" s="84" t="s">
        <v>479</v>
      </c>
    </row>
    <row r="6" spans="1:8" ht="106.2" customHeight="1" x14ac:dyDescent="0.45">
      <c r="A6" s="95" t="s">
        <v>453</v>
      </c>
      <c r="B6" s="97" t="s">
        <v>475</v>
      </c>
      <c r="C6" s="84" t="s">
        <v>857</v>
      </c>
      <c r="D6" s="317" t="s">
        <v>819</v>
      </c>
      <c r="E6" s="83" t="s">
        <v>476</v>
      </c>
      <c r="F6" s="83" t="s">
        <v>480</v>
      </c>
      <c r="G6" s="84" t="s">
        <v>478</v>
      </c>
      <c r="H6" s="84" t="s">
        <v>479</v>
      </c>
    </row>
    <row r="7" spans="1:8" ht="109.2" customHeight="1" x14ac:dyDescent="0.45">
      <c r="A7" s="95" t="s">
        <v>455</v>
      </c>
      <c r="B7" s="97" t="s">
        <v>475</v>
      </c>
      <c r="C7" s="84" t="s">
        <v>856</v>
      </c>
      <c r="D7" s="317" t="s">
        <v>819</v>
      </c>
      <c r="E7" s="83" t="s">
        <v>476</v>
      </c>
      <c r="F7" s="83" t="s">
        <v>477</v>
      </c>
      <c r="G7" s="84" t="s">
        <v>478</v>
      </c>
      <c r="H7" s="84" t="s">
        <v>481</v>
      </c>
    </row>
    <row r="8" spans="1:8" ht="112.8" customHeight="1" x14ac:dyDescent="0.45">
      <c r="A8" s="95" t="s">
        <v>456</v>
      </c>
      <c r="B8" s="97" t="s">
        <v>475</v>
      </c>
      <c r="C8" s="84" t="s">
        <v>855</v>
      </c>
      <c r="D8" s="317" t="s">
        <v>819</v>
      </c>
      <c r="E8" s="83" t="s">
        <v>476</v>
      </c>
      <c r="F8" s="83" t="s">
        <v>480</v>
      </c>
      <c r="G8" s="84" t="s">
        <v>478</v>
      </c>
      <c r="H8" s="84" t="s">
        <v>481</v>
      </c>
    </row>
    <row r="9" spans="1:8" ht="117" customHeight="1" x14ac:dyDescent="0.45">
      <c r="A9" s="95" t="s">
        <v>465</v>
      </c>
      <c r="B9" s="97" t="s">
        <v>475</v>
      </c>
      <c r="C9" s="84" t="s">
        <v>853</v>
      </c>
      <c r="D9" s="317" t="s">
        <v>819</v>
      </c>
      <c r="E9" s="83" t="s">
        <v>476</v>
      </c>
      <c r="F9" s="83" t="s">
        <v>477</v>
      </c>
      <c r="G9" s="84" t="s">
        <v>478</v>
      </c>
      <c r="H9" s="84" t="s">
        <v>481</v>
      </c>
    </row>
    <row r="10" spans="1:8" ht="100.2" customHeight="1" x14ac:dyDescent="0.45">
      <c r="A10" s="95" t="s">
        <v>466</v>
      </c>
      <c r="B10" s="97" t="s">
        <v>475</v>
      </c>
      <c r="C10" s="84" t="s">
        <v>854</v>
      </c>
      <c r="D10" s="317" t="s">
        <v>819</v>
      </c>
      <c r="E10" s="83" t="s">
        <v>476</v>
      </c>
      <c r="F10" s="83" t="s">
        <v>480</v>
      </c>
      <c r="G10" s="84" t="s">
        <v>478</v>
      </c>
      <c r="H10" s="84" t="s">
        <v>481</v>
      </c>
    </row>
    <row r="11" spans="1:8" ht="14.4" x14ac:dyDescent="0.45">
      <c r="A11" s="95" t="s">
        <v>467</v>
      </c>
      <c r="B11" s="97"/>
      <c r="C11" s="83"/>
      <c r="D11" s="83"/>
      <c r="E11" s="83"/>
      <c r="F11" s="83"/>
      <c r="G11" s="84"/>
      <c r="H11" s="84"/>
    </row>
    <row r="12" spans="1:8" ht="15" customHeight="1" x14ac:dyDescent="0.45">
      <c r="A12" s="95" t="s">
        <v>63</v>
      </c>
      <c r="B12" s="97"/>
      <c r="C12" s="83"/>
      <c r="D12" s="83"/>
      <c r="E12" s="83"/>
      <c r="F12" s="83"/>
      <c r="G12" s="83"/>
      <c r="H12" s="83"/>
    </row>
    <row r="13" spans="1:8" ht="15" customHeight="1" x14ac:dyDescent="0.45">
      <c r="A13" s="95" t="s">
        <v>482</v>
      </c>
      <c r="B13" s="97"/>
      <c r="C13" s="83"/>
      <c r="D13" s="83"/>
      <c r="E13" s="83"/>
      <c r="F13" s="83"/>
      <c r="G13" s="83"/>
      <c r="H13" s="83"/>
    </row>
    <row r="14" spans="1:8" ht="15" customHeight="1" x14ac:dyDescent="0.45">
      <c r="A14" s="95" t="s">
        <v>483</v>
      </c>
      <c r="B14" s="97"/>
      <c r="C14" s="83"/>
      <c r="D14" s="83"/>
      <c r="E14" s="83"/>
      <c r="F14" s="83"/>
      <c r="G14" s="83"/>
      <c r="H14" s="83"/>
    </row>
    <row r="15" spans="1:8" ht="15" customHeight="1" x14ac:dyDescent="0.45">
      <c r="A15" s="95" t="s">
        <v>484</v>
      </c>
      <c r="B15" s="98"/>
      <c r="C15" s="83"/>
      <c r="D15" s="83"/>
      <c r="E15" s="83"/>
      <c r="F15" s="83"/>
      <c r="G15" s="83"/>
      <c r="H15" s="83"/>
    </row>
    <row r="16" spans="1:8" ht="15" customHeight="1" x14ac:dyDescent="0.45">
      <c r="A16" s="95" t="s">
        <v>485</v>
      </c>
      <c r="B16" s="98"/>
      <c r="C16" s="83"/>
      <c r="D16" s="83"/>
      <c r="E16" s="83"/>
      <c r="F16" s="83"/>
      <c r="G16" s="83"/>
      <c r="H16" s="83"/>
    </row>
    <row r="17" spans="1:8" ht="15" customHeight="1" x14ac:dyDescent="0.45">
      <c r="A17" s="95" t="s">
        <v>486</v>
      </c>
      <c r="B17" s="98"/>
      <c r="C17" s="83"/>
      <c r="D17" s="83"/>
      <c r="E17" s="83"/>
      <c r="F17" s="83"/>
      <c r="G17" s="83"/>
      <c r="H17" s="83"/>
    </row>
    <row r="18" spans="1:8" ht="15" customHeight="1" x14ac:dyDescent="0.45">
      <c r="A18" s="95" t="s">
        <v>487</v>
      </c>
      <c r="B18" s="98"/>
      <c r="C18" s="83"/>
      <c r="D18" s="83"/>
      <c r="E18" s="83"/>
      <c r="F18" s="83"/>
      <c r="G18" s="83"/>
      <c r="H18" s="83"/>
    </row>
    <row r="19" spans="1:8" ht="15" customHeight="1" x14ac:dyDescent="0.45">
      <c r="A19" s="95" t="s">
        <v>488</v>
      </c>
      <c r="B19" s="98"/>
      <c r="C19" s="83"/>
      <c r="D19" s="83"/>
      <c r="E19" s="83"/>
      <c r="F19" s="83"/>
      <c r="G19" s="83"/>
      <c r="H19" s="83"/>
    </row>
    <row r="20" spans="1:8" ht="15" customHeight="1" x14ac:dyDescent="0.45">
      <c r="A20" s="95" t="s">
        <v>489</v>
      </c>
      <c r="B20" s="98"/>
      <c r="C20" s="83"/>
      <c r="D20" s="83"/>
      <c r="E20" s="83"/>
      <c r="F20" s="83"/>
      <c r="G20" s="83"/>
      <c r="H20" s="83"/>
    </row>
    <row r="21" spans="1:8" ht="15" customHeight="1" x14ac:dyDescent="0.45">
      <c r="A21" s="95" t="s">
        <v>490</v>
      </c>
      <c r="B21" s="98"/>
      <c r="C21" s="83"/>
      <c r="D21" s="83"/>
      <c r="E21" s="83"/>
      <c r="F21" s="83"/>
      <c r="G21" s="83"/>
      <c r="H21" s="83"/>
    </row>
    <row r="22" spans="1:8" ht="15" customHeight="1" x14ac:dyDescent="0.45">
      <c r="A22" s="95" t="s">
        <v>491</v>
      </c>
      <c r="B22" s="98"/>
      <c r="C22" s="83"/>
      <c r="D22" s="83"/>
      <c r="E22" s="83"/>
      <c r="F22" s="83"/>
      <c r="G22" s="83"/>
      <c r="H22" s="83"/>
    </row>
    <row r="23" spans="1:8" ht="12.9" customHeight="1" x14ac:dyDescent="0.45">
      <c r="A23" s="95" t="s">
        <v>492</v>
      </c>
      <c r="B23" s="98"/>
      <c r="C23" s="83"/>
      <c r="D23" s="83"/>
      <c r="E23" s="83"/>
      <c r="F23" s="83"/>
      <c r="G23" s="83"/>
      <c r="H23" s="83"/>
    </row>
    <row r="24" spans="1:8" ht="15" hidden="1" customHeight="1" x14ac:dyDescent="0.45">
      <c r="A24" s="95" t="s">
        <v>493</v>
      </c>
      <c r="B24" s="99"/>
      <c r="D24" s="83"/>
    </row>
    <row r="25" spans="1:8" ht="12.9" customHeight="1" x14ac:dyDescent="0.45">
      <c r="A25" s="95">
        <v>22</v>
      </c>
      <c r="B25" s="98"/>
      <c r="C25" s="83"/>
      <c r="D25" s="83"/>
      <c r="E25" s="83"/>
      <c r="F25" s="83"/>
      <c r="G25" s="83"/>
      <c r="H25" s="83"/>
    </row>
    <row r="26" spans="1:8" ht="12.9" customHeight="1" x14ac:dyDescent="0.45">
      <c r="A26" s="95">
        <v>23</v>
      </c>
      <c r="B26" s="98"/>
      <c r="C26" s="83"/>
      <c r="D26" s="83"/>
      <c r="E26" s="83"/>
      <c r="F26" s="83"/>
      <c r="G26" s="83"/>
      <c r="H26" s="83"/>
    </row>
  </sheetData>
  <mergeCells count="1">
    <mergeCell ref="A1:H1"/>
  </mergeCells>
  <phoneticPr fontId="10"/>
  <pageMargins left="0.7" right="0.7" top="0.75" bottom="0.75" header="0.3" footer="0.3"/>
  <pageSetup paperSize="9" scale="60" orientation="landscape" verticalDpi="90" r:id="rId1"/>
  <ignoredErrors>
    <ignoredError sqref="A3:A4 A5:A6 A7:A9 A10:A18 A19:A24" numberStoredAsText="1"/>
  </ignoredErrors>
  <extLst>
    <ext xmlns:x14="http://schemas.microsoft.com/office/spreadsheetml/2009/9/main" uri="{CCE6A557-97BC-4b89-ADB6-D9C93CAAB3DF}">
      <x14:dataValidations xmlns:xm="http://schemas.microsoft.com/office/excel/2006/main" count="3">
        <x14:dataValidation type="list" allowBlank="1" showInputMessage="1" showErrorMessage="1" xr:uid="{4EEA7CF6-0C9F-4080-939C-56A7C8B5926F}">
          <x14:formula1>
            <xm:f>リスト!$K$2:$K$1048576</xm:f>
          </x14:formula1>
          <xm:sqref>B3:B1048576</xm:sqref>
        </x14:dataValidation>
        <x14:dataValidation type="list" allowBlank="1" showInputMessage="1" showErrorMessage="1" xr:uid="{381781C3-D804-41CD-8DE0-A10332EBCD57}">
          <x14:formula1>
            <xm:f>リスト!$J$3:$J$1048576</xm:f>
          </x14:formula1>
          <xm:sqref>F3:F1048576</xm:sqref>
        </x14:dataValidation>
        <x14:dataValidation type="list" allowBlank="1" showInputMessage="1" showErrorMessage="1" xr:uid="{02F8C829-E98C-4F26-9BF7-88E462C40808}">
          <x14:formula1>
            <xm:f>リスト!$I$2:$I$1048576</xm:f>
          </x14:formula1>
          <xm:sqref>E3:E1048576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089A-1193-40FA-9D0E-21B975FE67A3}">
  <sheetPr codeName="Sheet13">
    <tabColor rgb="FFC00000"/>
  </sheetPr>
  <dimension ref="B2:E15"/>
  <sheetViews>
    <sheetView showGridLines="0" workbookViewId="0"/>
  </sheetViews>
  <sheetFormatPr defaultRowHeight="16.2" x14ac:dyDescent="0.45"/>
  <cols>
    <col min="2" max="2" width="12.54296875" customWidth="1"/>
    <col min="3" max="4" width="9.6328125" customWidth="1"/>
    <col min="5" max="5" width="47.54296875" bestFit="1" customWidth="1"/>
  </cols>
  <sheetData>
    <row r="2" spans="2:5" x14ac:dyDescent="0.45">
      <c r="B2" t="s">
        <v>815</v>
      </c>
    </row>
    <row r="3" spans="2:5" x14ac:dyDescent="0.45">
      <c r="B3" s="313" t="s">
        <v>771</v>
      </c>
      <c r="C3" s="313" t="s">
        <v>772</v>
      </c>
      <c r="D3" s="313" t="s">
        <v>784</v>
      </c>
      <c r="E3" s="311" t="s">
        <v>773</v>
      </c>
    </row>
    <row r="4" spans="2:5" x14ac:dyDescent="0.45">
      <c r="B4" s="313">
        <v>1200000001</v>
      </c>
      <c r="C4" s="313">
        <v>10</v>
      </c>
      <c r="D4" s="313" t="s">
        <v>785</v>
      </c>
      <c r="E4" s="311" t="s">
        <v>774</v>
      </c>
    </row>
    <row r="5" spans="2:5" x14ac:dyDescent="0.45">
      <c r="B5" s="313">
        <v>8000000001</v>
      </c>
      <c r="C5" s="313">
        <v>10</v>
      </c>
      <c r="D5" s="313" t="s">
        <v>786</v>
      </c>
      <c r="E5" s="312" t="s">
        <v>775</v>
      </c>
    </row>
    <row r="6" spans="2:5" x14ac:dyDescent="0.45">
      <c r="B6" t="s">
        <v>787</v>
      </c>
    </row>
    <row r="7" spans="2:5" x14ac:dyDescent="0.45">
      <c r="B7" t="s">
        <v>788</v>
      </c>
    </row>
    <row r="9" spans="2:5" x14ac:dyDescent="0.45">
      <c r="B9" t="s">
        <v>776</v>
      </c>
    </row>
    <row r="10" spans="2:5" x14ac:dyDescent="0.45">
      <c r="B10" t="s">
        <v>777</v>
      </c>
      <c r="C10" t="s">
        <v>778</v>
      </c>
    </row>
    <row r="12" spans="2:5" x14ac:dyDescent="0.45">
      <c r="B12" t="s">
        <v>779</v>
      </c>
    </row>
    <row r="13" spans="2:5" x14ac:dyDescent="0.45">
      <c r="B13" t="s">
        <v>780</v>
      </c>
      <c r="C13" t="s">
        <v>781</v>
      </c>
    </row>
    <row r="14" spans="2:5" x14ac:dyDescent="0.45">
      <c r="C14" t="s">
        <v>782</v>
      </c>
    </row>
    <row r="15" spans="2:5" x14ac:dyDescent="0.45">
      <c r="C15" t="s">
        <v>783</v>
      </c>
    </row>
  </sheetData>
  <phoneticPr fontId="1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53C76-788A-420E-8095-98C069BCAEC2}">
  <sheetPr codeName="Sheet10"/>
  <dimension ref="A1:P18"/>
  <sheetViews>
    <sheetView workbookViewId="0"/>
  </sheetViews>
  <sheetFormatPr defaultColWidth="25.36328125" defaultRowHeight="16.2" x14ac:dyDescent="0.45"/>
  <cols>
    <col min="1" max="1" width="12.36328125" style="62" customWidth="1"/>
    <col min="2" max="2" width="11.26953125" style="62" bestFit="1" customWidth="1"/>
    <col min="3" max="3" width="11.26953125" style="62" customWidth="1"/>
    <col min="4" max="4" width="15.36328125" style="62" customWidth="1"/>
    <col min="5" max="5" width="10" style="64" bestFit="1" customWidth="1"/>
    <col min="6" max="7" width="10.36328125" style="64" bestFit="1" customWidth="1"/>
    <col min="8" max="9" width="15.6328125" style="64" bestFit="1" customWidth="1"/>
    <col min="10" max="10" width="12.453125" style="64" bestFit="1" customWidth="1"/>
    <col min="11" max="11" width="10.90625" style="64" customWidth="1"/>
    <col min="12" max="16" width="15.26953125" style="64" customWidth="1"/>
    <col min="17" max="16384" width="25.36328125" style="62"/>
  </cols>
  <sheetData>
    <row r="1" spans="1:16" s="60" customFormat="1" ht="14.4" x14ac:dyDescent="0.45">
      <c r="A1" s="59" t="s">
        <v>496</v>
      </c>
      <c r="B1" s="59" t="s">
        <v>497</v>
      </c>
      <c r="C1" s="59" t="s">
        <v>498</v>
      </c>
      <c r="D1" s="59" t="s">
        <v>499</v>
      </c>
      <c r="E1" s="59" t="s">
        <v>500</v>
      </c>
      <c r="F1" s="59" t="s">
        <v>501</v>
      </c>
      <c r="G1" s="59" t="s">
        <v>502</v>
      </c>
      <c r="H1" s="59" t="s">
        <v>503</v>
      </c>
      <c r="I1" s="59" t="s">
        <v>471</v>
      </c>
      <c r="J1" s="59" t="s">
        <v>472</v>
      </c>
      <c r="K1" s="59" t="s">
        <v>504</v>
      </c>
      <c r="L1" s="59" t="s">
        <v>505</v>
      </c>
      <c r="M1" s="59" t="s">
        <v>503</v>
      </c>
      <c r="N1" s="59" t="s">
        <v>506</v>
      </c>
      <c r="O1" s="59" t="s">
        <v>507</v>
      </c>
      <c r="P1" s="59" t="s">
        <v>388</v>
      </c>
    </row>
    <row r="2" spans="1:16" ht="14.4" x14ac:dyDescent="0.3">
      <c r="A2" s="61"/>
      <c r="B2" s="61"/>
      <c r="C2" s="61"/>
      <c r="D2" s="61"/>
      <c r="E2" s="61"/>
      <c r="F2" s="61"/>
      <c r="G2" s="61"/>
      <c r="H2" s="61"/>
      <c r="I2" s="61"/>
      <c r="J2" s="61"/>
      <c r="K2" s="61"/>
      <c r="L2" s="61"/>
      <c r="M2" s="61"/>
      <c r="N2" s="61"/>
      <c r="O2" s="61"/>
      <c r="P2" s="61"/>
    </row>
    <row r="3" spans="1:16" ht="15" x14ac:dyDescent="0.3">
      <c r="A3" s="63" t="s">
        <v>508</v>
      </c>
      <c r="B3" s="63" t="s">
        <v>509</v>
      </c>
      <c r="C3" s="63" t="s">
        <v>510</v>
      </c>
      <c r="D3" s="63" t="s">
        <v>511</v>
      </c>
      <c r="E3" s="63" t="s">
        <v>18</v>
      </c>
      <c r="F3" s="63" t="s">
        <v>512</v>
      </c>
      <c r="G3" s="63" t="s">
        <v>513</v>
      </c>
      <c r="H3" s="77" t="s">
        <v>403</v>
      </c>
      <c r="I3" s="77" t="s">
        <v>476</v>
      </c>
      <c r="J3" s="77" t="s">
        <v>514</v>
      </c>
      <c r="K3" s="77" t="s">
        <v>447</v>
      </c>
      <c r="L3" s="77" t="s">
        <v>447</v>
      </c>
      <c r="M3" s="77" t="s">
        <v>403</v>
      </c>
      <c r="N3" s="77" t="s">
        <v>515</v>
      </c>
      <c r="O3" s="83" t="s">
        <v>516</v>
      </c>
      <c r="P3" s="83" t="s">
        <v>421</v>
      </c>
    </row>
    <row r="4" spans="1:16" ht="15" x14ac:dyDescent="0.3">
      <c r="A4" s="63" t="s">
        <v>517</v>
      </c>
      <c r="B4" s="63" t="s">
        <v>518</v>
      </c>
      <c r="C4" s="63" t="s">
        <v>519</v>
      </c>
      <c r="D4" s="63" t="s">
        <v>520</v>
      </c>
      <c r="E4" s="63" t="s">
        <v>521</v>
      </c>
      <c r="F4" s="63" t="s">
        <v>522</v>
      </c>
      <c r="G4" s="63" t="s">
        <v>523</v>
      </c>
      <c r="H4" s="77" t="s">
        <v>409</v>
      </c>
      <c r="I4" s="77" t="s">
        <v>524</v>
      </c>
      <c r="J4" s="77" t="s">
        <v>477</v>
      </c>
      <c r="K4" s="77" t="s">
        <v>475</v>
      </c>
      <c r="L4" s="77" t="s">
        <v>525</v>
      </c>
      <c r="M4" s="77" t="s">
        <v>409</v>
      </c>
      <c r="N4" s="77" t="s">
        <v>526</v>
      </c>
      <c r="O4" s="83" t="s">
        <v>527</v>
      </c>
      <c r="P4" s="83"/>
    </row>
    <row r="5" spans="1:16" ht="15" x14ac:dyDescent="0.3">
      <c r="A5" s="63" t="s">
        <v>528</v>
      </c>
      <c r="B5" s="63"/>
      <c r="C5" s="63"/>
      <c r="D5" s="63" t="s">
        <v>529</v>
      </c>
      <c r="E5" s="63" t="s">
        <v>530</v>
      </c>
      <c r="F5" s="63" t="s">
        <v>531</v>
      </c>
      <c r="G5" s="63"/>
      <c r="H5" s="77" t="s">
        <v>532</v>
      </c>
      <c r="I5" s="77" t="s">
        <v>533</v>
      </c>
      <c r="J5" s="77"/>
      <c r="K5" s="77" t="s">
        <v>534</v>
      </c>
      <c r="L5" s="77" t="s">
        <v>535</v>
      </c>
      <c r="M5" s="77" t="s">
        <v>420</v>
      </c>
      <c r="N5" s="77"/>
      <c r="O5" s="83" t="s">
        <v>536</v>
      </c>
      <c r="P5" s="83"/>
    </row>
    <row r="6" spans="1:16" ht="15" x14ac:dyDescent="0.3">
      <c r="A6" s="63" t="s">
        <v>537</v>
      </c>
      <c r="B6" s="63"/>
      <c r="C6" s="63"/>
      <c r="D6" s="63" t="s">
        <v>538</v>
      </c>
      <c r="E6" s="63"/>
      <c r="F6" s="63" t="s">
        <v>539</v>
      </c>
      <c r="G6" s="63"/>
      <c r="H6" s="77" t="s">
        <v>420</v>
      </c>
      <c r="I6" s="77" t="s">
        <v>540</v>
      </c>
      <c r="J6" s="77"/>
      <c r="K6" s="77" t="s">
        <v>454</v>
      </c>
      <c r="L6" s="77" t="s">
        <v>534</v>
      </c>
      <c r="M6" s="77" t="s">
        <v>532</v>
      </c>
      <c r="N6" s="77"/>
      <c r="O6" s="83" t="s">
        <v>541</v>
      </c>
      <c r="P6" s="83"/>
    </row>
    <row r="7" spans="1:16" ht="15" x14ac:dyDescent="0.3">
      <c r="A7" s="63" t="s">
        <v>542</v>
      </c>
      <c r="B7" s="63"/>
      <c r="C7" s="63"/>
      <c r="D7" s="63" t="s">
        <v>543</v>
      </c>
      <c r="E7" s="63"/>
      <c r="F7" s="63" t="s">
        <v>544</v>
      </c>
      <c r="G7" s="63"/>
      <c r="H7" s="77"/>
      <c r="I7" s="77" t="s">
        <v>545</v>
      </c>
      <c r="J7" s="77"/>
      <c r="K7" s="77"/>
      <c r="L7" s="77" t="s">
        <v>454</v>
      </c>
      <c r="M7" s="77" t="s">
        <v>546</v>
      </c>
      <c r="N7" s="77"/>
      <c r="O7" s="83" t="s">
        <v>547</v>
      </c>
      <c r="P7" s="83"/>
    </row>
    <row r="8" spans="1:16" ht="15" x14ac:dyDescent="0.3">
      <c r="A8" s="63" t="s">
        <v>548</v>
      </c>
      <c r="B8" s="63"/>
      <c r="C8" s="63"/>
      <c r="D8" s="63" t="s">
        <v>549</v>
      </c>
      <c r="E8" s="63"/>
      <c r="F8" s="63" t="s">
        <v>550</v>
      </c>
      <c r="G8" s="63"/>
      <c r="H8" s="77"/>
      <c r="I8" s="77" t="s">
        <v>454</v>
      </c>
      <c r="J8" s="77"/>
      <c r="K8" s="77"/>
      <c r="L8" s="77"/>
      <c r="M8" s="77" t="s">
        <v>551</v>
      </c>
      <c r="N8" s="77"/>
      <c r="O8" s="83" t="s">
        <v>552</v>
      </c>
      <c r="P8" s="83"/>
    </row>
    <row r="9" spans="1:16" ht="15" x14ac:dyDescent="0.3">
      <c r="A9" s="63" t="s">
        <v>553</v>
      </c>
      <c r="B9" s="63"/>
      <c r="C9" s="63"/>
      <c r="D9" s="63" t="s">
        <v>554</v>
      </c>
      <c r="E9" s="63"/>
      <c r="F9" s="63" t="s">
        <v>555</v>
      </c>
      <c r="G9" s="63"/>
      <c r="H9" s="77"/>
      <c r="I9" s="77"/>
      <c r="J9" s="77"/>
      <c r="K9" s="77"/>
      <c r="L9" s="77"/>
      <c r="M9" s="77" t="s">
        <v>407</v>
      </c>
      <c r="N9" s="77"/>
      <c r="O9" s="83" t="s">
        <v>454</v>
      </c>
      <c r="P9" s="83"/>
    </row>
    <row r="10" spans="1:16" ht="15" x14ac:dyDescent="0.3">
      <c r="A10" s="63" t="s">
        <v>556</v>
      </c>
      <c r="B10" s="63"/>
      <c r="C10" s="63"/>
      <c r="D10" s="63" t="s">
        <v>557</v>
      </c>
      <c r="E10" s="63"/>
      <c r="F10" s="63" t="s">
        <v>558</v>
      </c>
      <c r="G10" s="63"/>
      <c r="H10" s="77"/>
      <c r="I10" s="77"/>
      <c r="J10" s="77"/>
      <c r="K10" s="77"/>
      <c r="L10" s="77"/>
      <c r="M10" s="77"/>
      <c r="N10" s="77"/>
      <c r="O10" s="77"/>
      <c r="P10" s="77"/>
    </row>
    <row r="11" spans="1:16" ht="15" x14ac:dyDescent="0.3">
      <c r="A11" s="63"/>
      <c r="B11" s="63"/>
      <c r="C11" s="63"/>
      <c r="D11" s="63"/>
      <c r="E11" s="63"/>
      <c r="F11" s="63" t="s">
        <v>559</v>
      </c>
      <c r="G11" s="63"/>
      <c r="H11" s="77"/>
      <c r="I11" s="77"/>
      <c r="J11" s="77"/>
      <c r="K11" s="77"/>
      <c r="L11" s="77"/>
      <c r="M11" s="77"/>
      <c r="N11" s="77"/>
      <c r="O11" s="77"/>
      <c r="P11" s="77"/>
    </row>
    <row r="12" spans="1:16" x14ac:dyDescent="0.45">
      <c r="A12" s="63"/>
      <c r="B12" s="63"/>
      <c r="C12" s="63"/>
      <c r="D12" s="63"/>
      <c r="E12" s="201"/>
      <c r="F12" s="63" t="s">
        <v>454</v>
      </c>
      <c r="G12" s="201"/>
      <c r="H12" s="201"/>
      <c r="I12" s="201"/>
      <c r="J12" s="201"/>
      <c r="K12" s="201"/>
      <c r="L12" s="201"/>
      <c r="M12" s="77"/>
      <c r="N12" s="77"/>
      <c r="O12" s="77"/>
      <c r="P12" s="77"/>
    </row>
    <row r="13" spans="1:16" x14ac:dyDescent="0.45">
      <c r="A13" s="63"/>
      <c r="B13" s="63"/>
      <c r="C13" s="63"/>
      <c r="D13" s="63"/>
      <c r="E13" s="201"/>
      <c r="F13" s="201"/>
      <c r="G13" s="201"/>
      <c r="H13" s="201"/>
      <c r="I13" s="201"/>
      <c r="J13" s="201"/>
      <c r="K13" s="201"/>
      <c r="L13" s="201"/>
      <c r="M13" s="77"/>
      <c r="N13" s="77"/>
      <c r="O13" s="77"/>
      <c r="P13" s="77"/>
    </row>
    <row r="14" spans="1:16" x14ac:dyDescent="0.45">
      <c r="A14" s="63"/>
      <c r="B14" s="63"/>
      <c r="C14" s="63"/>
      <c r="D14" s="63"/>
      <c r="E14" s="201"/>
      <c r="F14" s="201"/>
      <c r="G14" s="201"/>
      <c r="H14" s="201"/>
      <c r="I14" s="201"/>
      <c r="J14" s="201"/>
      <c r="K14" s="201"/>
      <c r="L14" s="201"/>
      <c r="M14" s="77"/>
      <c r="N14" s="77"/>
      <c r="O14" s="77"/>
      <c r="P14" s="77"/>
    </row>
    <row r="15" spans="1:16" x14ac:dyDescent="0.45">
      <c r="A15" s="63"/>
      <c r="B15" s="63"/>
      <c r="C15" s="63"/>
      <c r="D15" s="63"/>
      <c r="E15" s="201"/>
      <c r="F15" s="201"/>
      <c r="G15" s="201"/>
      <c r="H15" s="201"/>
      <c r="I15" s="201"/>
      <c r="J15" s="201"/>
      <c r="K15" s="201"/>
      <c r="L15" s="201"/>
      <c r="M15" s="201"/>
      <c r="N15" s="201"/>
      <c r="O15" s="201"/>
      <c r="P15" s="201"/>
    </row>
    <row r="16" spans="1:16" x14ac:dyDescent="0.45">
      <c r="A16" s="63"/>
      <c r="B16" s="63"/>
      <c r="C16" s="63"/>
      <c r="D16" s="63"/>
      <c r="E16" s="201"/>
      <c r="F16" s="201"/>
      <c r="G16" s="201"/>
      <c r="H16" s="201"/>
      <c r="I16" s="201"/>
      <c r="J16" s="201"/>
      <c r="K16" s="201"/>
      <c r="L16" s="201"/>
      <c r="M16" s="201"/>
      <c r="N16" s="201"/>
      <c r="O16" s="201"/>
      <c r="P16" s="201"/>
    </row>
    <row r="17" spans="1:16" x14ac:dyDescent="0.45">
      <c r="A17" s="63"/>
      <c r="B17" s="63"/>
      <c r="C17" s="63"/>
      <c r="D17" s="63"/>
      <c r="E17" s="201"/>
      <c r="F17" s="201"/>
      <c r="G17" s="201"/>
      <c r="H17" s="201"/>
      <c r="I17" s="201"/>
      <c r="J17" s="201"/>
      <c r="K17" s="201"/>
      <c r="L17" s="201"/>
      <c r="M17" s="201"/>
      <c r="N17" s="201"/>
      <c r="O17" s="201"/>
      <c r="P17" s="201"/>
    </row>
    <row r="18" spans="1:16" x14ac:dyDescent="0.45">
      <c r="A18" s="63"/>
      <c r="B18" s="63"/>
      <c r="C18" s="63"/>
      <c r="D18" s="63"/>
      <c r="E18" s="201"/>
      <c r="F18" s="201"/>
      <c r="G18" s="201"/>
      <c r="H18" s="201"/>
      <c r="I18" s="201"/>
      <c r="J18" s="201"/>
      <c r="K18" s="201"/>
      <c r="L18" s="201"/>
      <c r="M18" s="201"/>
      <c r="N18" s="201"/>
      <c r="O18" s="201"/>
      <c r="P18" s="201"/>
    </row>
  </sheetData>
  <phoneticPr fontId="10"/>
  <dataValidations count="1">
    <dataValidation errorStyle="warning" allowBlank="1" showInputMessage="1" showErrorMessage="1" sqref="A1:P1" xr:uid="{75EFBCA9-87C2-4F27-BD6E-8587C52EDE95}"/>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AO29"/>
  <sheetViews>
    <sheetView topLeftCell="Q1" zoomScaleNormal="100" workbookViewId="0">
      <pane ySplit="5" topLeftCell="A6" activePane="bottomLeft" state="frozen"/>
      <selection activeCell="AQ23" sqref="AQ23"/>
      <selection pane="bottomLeft" activeCell="AQ23" sqref="AQ23"/>
    </sheetView>
  </sheetViews>
  <sheetFormatPr defaultColWidth="9" defaultRowHeight="16.2" x14ac:dyDescent="0.45"/>
  <cols>
    <col min="1" max="1" width="4.36328125" style="16" bestFit="1" customWidth="1"/>
    <col min="2" max="2" width="18" style="16" customWidth="1"/>
    <col min="3" max="4" width="14.7265625" style="1" customWidth="1"/>
    <col min="5" max="5" width="6.08984375" style="1" bestFit="1" customWidth="1"/>
    <col min="6" max="7" width="8" style="1" customWidth="1"/>
    <col min="8" max="8" width="8" style="1" bestFit="1" customWidth="1"/>
    <col min="9" max="10" width="4.7265625" style="1" bestFit="1" customWidth="1"/>
    <col min="11" max="11" width="27.6328125" style="1" customWidth="1"/>
    <col min="12" max="12" width="13.36328125" style="16" bestFit="1" customWidth="1"/>
    <col min="13" max="13" width="15.08984375" style="1" customWidth="1"/>
    <col min="14" max="14" width="16.36328125" style="1" customWidth="1"/>
    <col min="15" max="15" width="14.6328125" style="1" customWidth="1"/>
    <col min="16" max="16" width="4.36328125" style="1" customWidth="1"/>
    <col min="17" max="17" width="16.6328125" style="1" customWidth="1"/>
    <col min="18" max="18" width="31.90625" style="1" customWidth="1"/>
    <col min="19" max="19" width="4.36328125" style="1" customWidth="1"/>
    <col min="20" max="25" width="16.6328125" style="1" customWidth="1"/>
    <col min="26" max="26" width="31.90625" style="1" customWidth="1"/>
    <col min="27" max="27" width="4.36328125" style="16" bestFit="1" customWidth="1"/>
    <col min="28" max="28" width="15.90625" style="16" bestFit="1" customWidth="1"/>
    <col min="29" max="29" width="28.7265625" style="1" bestFit="1" customWidth="1"/>
    <col min="30" max="30" width="29.7265625" style="1" bestFit="1" customWidth="1"/>
    <col min="31" max="31" width="11.6328125" style="1" bestFit="1" customWidth="1"/>
    <col min="32" max="33" width="8" style="1" customWidth="1"/>
    <col min="34" max="34" width="8" style="1" bestFit="1" customWidth="1"/>
    <col min="35" max="36" width="4.7265625" style="1" bestFit="1" customWidth="1"/>
    <col min="37" max="37" width="27.6328125" style="1" customWidth="1"/>
    <col min="38" max="38" width="20.08984375" style="16" bestFit="1" customWidth="1"/>
    <col min="39" max="39" width="15.08984375" style="1" customWidth="1"/>
    <col min="40" max="40" width="18.6328125" style="1" bestFit="1" customWidth="1"/>
    <col min="41" max="41" width="21.36328125" style="45" customWidth="1"/>
    <col min="42" max="42" width="3" style="1" customWidth="1"/>
    <col min="43" max="16384" width="9" style="1"/>
  </cols>
  <sheetData>
    <row r="1" spans="1:41" x14ac:dyDescent="0.45">
      <c r="A1" s="38" t="s">
        <v>3</v>
      </c>
      <c r="B1" s="43"/>
      <c r="C1" s="33"/>
      <c r="D1" s="49" t="s">
        <v>560</v>
      </c>
      <c r="E1" s="5"/>
      <c r="F1" s="6"/>
      <c r="G1" s="10" t="s">
        <v>561</v>
      </c>
      <c r="H1" s="11"/>
      <c r="I1" s="11"/>
      <c r="J1" s="39"/>
      <c r="K1" s="2"/>
      <c r="L1" s="40" t="s">
        <v>562</v>
      </c>
      <c r="M1" s="2"/>
    </row>
    <row r="2" spans="1:41" x14ac:dyDescent="0.45">
      <c r="A2" s="38" t="s">
        <v>563</v>
      </c>
      <c r="B2" s="43"/>
      <c r="C2" s="33"/>
      <c r="D2" s="4" t="s">
        <v>564</v>
      </c>
      <c r="E2" s="5"/>
      <c r="F2" s="6"/>
      <c r="G2" s="12" t="s">
        <v>565</v>
      </c>
      <c r="H2" s="13"/>
      <c r="I2" s="13"/>
      <c r="J2" s="33"/>
      <c r="K2" s="2" t="s">
        <v>566</v>
      </c>
      <c r="L2" s="41" t="s">
        <v>562</v>
      </c>
      <c r="M2" s="2"/>
    </row>
    <row r="4" spans="1:41" x14ac:dyDescent="0.45">
      <c r="A4" s="18" t="s">
        <v>191</v>
      </c>
      <c r="B4" s="19" t="s">
        <v>567</v>
      </c>
      <c r="C4" s="19" t="s">
        <v>568</v>
      </c>
      <c r="D4" s="19" t="s">
        <v>569</v>
      </c>
      <c r="E4" s="18" t="s">
        <v>570</v>
      </c>
      <c r="F4" s="20" t="s">
        <v>571</v>
      </c>
      <c r="G4" s="21"/>
      <c r="H4" s="22"/>
      <c r="I4" s="19" t="s">
        <v>572</v>
      </c>
      <c r="J4" s="19" t="s">
        <v>573</v>
      </c>
      <c r="K4" s="23" t="s">
        <v>574</v>
      </c>
      <c r="L4" s="18" t="s">
        <v>575</v>
      </c>
      <c r="M4" s="20" t="s">
        <v>576</v>
      </c>
      <c r="N4" s="22"/>
      <c r="O4" s="19" t="s">
        <v>577</v>
      </c>
      <c r="P4" s="19" t="s">
        <v>578</v>
      </c>
      <c r="Q4" s="21"/>
      <c r="R4" s="21"/>
      <c r="S4" s="28" t="s">
        <v>579</v>
      </c>
      <c r="T4" s="29"/>
      <c r="U4" s="29"/>
      <c r="V4" s="29"/>
      <c r="W4" s="29"/>
      <c r="X4" s="29"/>
      <c r="Y4" s="29"/>
      <c r="Z4" s="29"/>
      <c r="AA4" s="32" t="s">
        <v>191</v>
      </c>
      <c r="AB4" s="32" t="s">
        <v>580</v>
      </c>
      <c r="AC4" s="15" t="s">
        <v>568</v>
      </c>
      <c r="AD4" s="15" t="s">
        <v>569</v>
      </c>
      <c r="AE4" s="32" t="s">
        <v>570</v>
      </c>
      <c r="AF4" s="12" t="s">
        <v>571</v>
      </c>
      <c r="AG4" s="13"/>
      <c r="AH4" s="33"/>
      <c r="AI4" s="15" t="s">
        <v>572</v>
      </c>
      <c r="AJ4" s="15" t="s">
        <v>573</v>
      </c>
      <c r="AK4" s="34" t="s">
        <v>574</v>
      </c>
      <c r="AL4" s="32" t="s">
        <v>575</v>
      </c>
      <c r="AM4" s="12" t="s">
        <v>576</v>
      </c>
      <c r="AN4" s="33"/>
      <c r="AO4" s="46" t="s">
        <v>577</v>
      </c>
    </row>
    <row r="5" spans="1:41" ht="16.8" thickBot="1" x14ac:dyDescent="0.5">
      <c r="A5" s="24"/>
      <c r="B5" s="25" t="s">
        <v>581</v>
      </c>
      <c r="C5" s="25"/>
      <c r="D5" s="25"/>
      <c r="E5" s="25"/>
      <c r="F5" s="26" t="s">
        <v>582</v>
      </c>
      <c r="G5" s="26" t="s">
        <v>583</v>
      </c>
      <c r="H5" s="26" t="s">
        <v>584</v>
      </c>
      <c r="I5" s="25"/>
      <c r="J5" s="25"/>
      <c r="K5" s="27"/>
      <c r="L5" s="24"/>
      <c r="M5" s="26" t="s">
        <v>585</v>
      </c>
      <c r="N5" s="26" t="s">
        <v>586</v>
      </c>
      <c r="O5" s="25"/>
      <c r="P5" s="26" t="s">
        <v>441</v>
      </c>
      <c r="Q5" s="55" t="s">
        <v>587</v>
      </c>
      <c r="R5" s="26" t="s">
        <v>588</v>
      </c>
      <c r="S5" s="30" t="s">
        <v>441</v>
      </c>
      <c r="T5" s="31" t="s">
        <v>589</v>
      </c>
      <c r="U5" s="31" t="s">
        <v>590</v>
      </c>
      <c r="V5" s="31" t="s">
        <v>587</v>
      </c>
      <c r="W5" s="31" t="s">
        <v>591</v>
      </c>
      <c r="X5" s="31" t="s">
        <v>592</v>
      </c>
      <c r="Y5" s="31" t="s">
        <v>593</v>
      </c>
      <c r="Z5" s="30" t="s">
        <v>588</v>
      </c>
      <c r="AA5" s="35"/>
      <c r="AB5" s="35" t="s">
        <v>581</v>
      </c>
      <c r="AC5" s="36"/>
      <c r="AD5" s="36"/>
      <c r="AE5" s="36"/>
      <c r="AF5" s="14" t="s">
        <v>582</v>
      </c>
      <c r="AG5" s="14" t="s">
        <v>583</v>
      </c>
      <c r="AH5" s="14" t="s">
        <v>584</v>
      </c>
      <c r="AI5" s="36"/>
      <c r="AJ5" s="36"/>
      <c r="AK5" s="37"/>
      <c r="AL5" s="35"/>
      <c r="AM5" s="14" t="s">
        <v>585</v>
      </c>
      <c r="AN5" s="14" t="s">
        <v>586</v>
      </c>
      <c r="AO5" s="47"/>
    </row>
    <row r="6" spans="1:41" ht="16.8" thickTop="1" x14ac:dyDescent="0.45">
      <c r="A6" s="8">
        <v>1</v>
      </c>
      <c r="B6" s="8"/>
      <c r="C6" s="3"/>
      <c r="D6" s="17"/>
      <c r="E6" s="3"/>
      <c r="F6" s="9"/>
      <c r="G6" s="9"/>
      <c r="H6" s="9"/>
      <c r="I6" s="9"/>
      <c r="J6" s="9"/>
      <c r="K6" s="7"/>
      <c r="L6" s="8"/>
      <c r="M6" s="3"/>
      <c r="N6" s="3"/>
      <c r="O6" s="3"/>
      <c r="P6" s="8"/>
      <c r="Q6" s="3"/>
      <c r="R6" s="42"/>
      <c r="S6" s="8"/>
      <c r="T6" s="3"/>
      <c r="U6" s="3"/>
      <c r="V6" s="3"/>
      <c r="W6" s="3"/>
      <c r="X6" s="3"/>
      <c r="Y6" s="3"/>
      <c r="Z6" s="42"/>
      <c r="AA6" s="8">
        <v>1</v>
      </c>
      <c r="AB6" s="8"/>
      <c r="AC6" s="3" t="s">
        <v>594</v>
      </c>
      <c r="AD6" s="17"/>
      <c r="AE6" s="3" t="s">
        <v>595</v>
      </c>
      <c r="AF6" s="9" t="s">
        <v>596</v>
      </c>
      <c r="AG6" s="9" t="s">
        <v>209</v>
      </c>
      <c r="AH6" s="9">
        <v>8</v>
      </c>
      <c r="AI6" s="9" t="s">
        <v>597</v>
      </c>
      <c r="AJ6" s="9" t="s">
        <v>598</v>
      </c>
      <c r="AK6" s="7" t="s">
        <v>599</v>
      </c>
      <c r="AL6" s="8" t="s">
        <v>600</v>
      </c>
      <c r="AM6" s="50" t="s">
        <v>601</v>
      </c>
      <c r="AN6" s="7"/>
      <c r="AO6" s="7"/>
    </row>
    <row r="7" spans="1:41" x14ac:dyDescent="0.45">
      <c r="A7" s="8">
        <v>2</v>
      </c>
      <c r="B7" s="8"/>
      <c r="C7" s="3"/>
      <c r="D7" s="3"/>
      <c r="E7" s="3"/>
      <c r="F7" s="9"/>
      <c r="G7" s="9"/>
      <c r="H7" s="9"/>
      <c r="I7" s="9"/>
      <c r="J7" s="9"/>
      <c r="K7" s="7"/>
      <c r="L7" s="8"/>
      <c r="M7" s="3"/>
      <c r="N7" s="3"/>
      <c r="O7" s="3"/>
      <c r="P7" s="8"/>
      <c r="Q7" s="3"/>
      <c r="R7" s="7"/>
      <c r="S7" s="8"/>
      <c r="T7" s="3"/>
      <c r="U7" s="3"/>
      <c r="V7" s="3"/>
      <c r="W7" s="3"/>
      <c r="X7" s="3"/>
      <c r="Y7" s="3"/>
      <c r="Z7" s="7"/>
      <c r="AA7" s="8">
        <v>2</v>
      </c>
      <c r="AB7" s="8"/>
      <c r="AC7" s="3" t="s">
        <v>602</v>
      </c>
      <c r="AD7" s="3"/>
      <c r="AE7" s="3" t="s">
        <v>205</v>
      </c>
      <c r="AF7" s="9" t="s">
        <v>596</v>
      </c>
      <c r="AG7" s="9" t="s">
        <v>209</v>
      </c>
      <c r="AH7" s="9">
        <v>9</v>
      </c>
      <c r="AI7" s="9" t="s">
        <v>597</v>
      </c>
      <c r="AJ7" s="9" t="s">
        <v>598</v>
      </c>
      <c r="AK7" s="7"/>
      <c r="AL7" s="8"/>
      <c r="AM7" s="51" t="s">
        <v>603</v>
      </c>
      <c r="AN7" s="3"/>
      <c r="AO7" s="7"/>
    </row>
    <row r="8" spans="1:41" x14ac:dyDescent="0.45">
      <c r="A8" s="8">
        <v>3</v>
      </c>
      <c r="B8" s="8"/>
      <c r="C8" s="3"/>
      <c r="D8" s="3"/>
      <c r="E8" s="3"/>
      <c r="F8" s="9"/>
      <c r="G8" s="9"/>
      <c r="H8" s="9"/>
      <c r="I8" s="9"/>
      <c r="J8" s="9"/>
      <c r="K8" s="7"/>
      <c r="L8" s="8"/>
      <c r="M8" s="3"/>
      <c r="N8" s="3"/>
      <c r="O8" s="3"/>
      <c r="P8" s="8"/>
      <c r="Q8" s="3"/>
      <c r="R8" s="7"/>
      <c r="S8" s="8"/>
      <c r="T8" s="3"/>
      <c r="U8" s="3"/>
      <c r="V8" s="3"/>
      <c r="W8" s="3"/>
      <c r="X8" s="3"/>
      <c r="Y8" s="3"/>
      <c r="Z8" s="7"/>
      <c r="AA8" s="8">
        <v>3</v>
      </c>
      <c r="AB8" s="8"/>
      <c r="AC8" s="3" t="s">
        <v>604</v>
      </c>
      <c r="AD8" s="3"/>
      <c r="AE8" s="3" t="s">
        <v>205</v>
      </c>
      <c r="AF8" s="9" t="s">
        <v>596</v>
      </c>
      <c r="AG8" s="9" t="s">
        <v>209</v>
      </c>
      <c r="AH8" s="203">
        <v>8</v>
      </c>
      <c r="AI8" s="9" t="s">
        <v>597</v>
      </c>
      <c r="AJ8" s="9" t="s">
        <v>598</v>
      </c>
      <c r="AK8" s="7"/>
      <c r="AL8" s="8" t="s">
        <v>605</v>
      </c>
      <c r="AM8" s="51" t="s">
        <v>601</v>
      </c>
      <c r="AN8" s="3"/>
      <c r="AO8" s="7"/>
    </row>
    <row r="9" spans="1:41" x14ac:dyDescent="0.45">
      <c r="A9" s="8">
        <v>4</v>
      </c>
      <c r="B9" s="8"/>
      <c r="C9" s="3"/>
      <c r="D9" s="3"/>
      <c r="E9" s="3"/>
      <c r="F9" s="9"/>
      <c r="G9" s="9"/>
      <c r="H9" s="9"/>
      <c r="I9" s="9"/>
      <c r="J9" s="9"/>
      <c r="K9" s="7"/>
      <c r="L9" s="8"/>
      <c r="M9" s="3"/>
      <c r="N9" s="3"/>
      <c r="O9" s="3"/>
      <c r="P9" s="8"/>
      <c r="Q9" s="3"/>
      <c r="R9" s="7"/>
      <c r="S9" s="8"/>
      <c r="T9" s="3"/>
      <c r="U9" s="3"/>
      <c r="V9" s="3"/>
      <c r="W9" s="3"/>
      <c r="X9" s="3"/>
      <c r="Y9" s="3"/>
      <c r="Z9" s="7"/>
      <c r="AA9" s="8">
        <v>4</v>
      </c>
      <c r="AB9" s="8"/>
      <c r="AC9" s="3" t="s">
        <v>606</v>
      </c>
      <c r="AD9" s="3"/>
      <c r="AE9" s="3" t="s">
        <v>205</v>
      </c>
      <c r="AF9" s="9" t="s">
        <v>596</v>
      </c>
      <c r="AG9" s="9" t="s">
        <v>209</v>
      </c>
      <c r="AH9" s="9">
        <v>7</v>
      </c>
      <c r="AI9" s="9" t="s">
        <v>597</v>
      </c>
      <c r="AJ9" s="9" t="s">
        <v>598</v>
      </c>
      <c r="AK9" s="7"/>
      <c r="AL9" s="7"/>
      <c r="AM9" s="51" t="s">
        <v>607</v>
      </c>
      <c r="AN9" s="7"/>
      <c r="AO9" s="48"/>
    </row>
    <row r="10" spans="1:41" x14ac:dyDescent="0.45">
      <c r="A10" s="8">
        <v>5</v>
      </c>
      <c r="B10" s="8"/>
      <c r="C10" s="3"/>
      <c r="D10" s="3"/>
      <c r="E10" s="3"/>
      <c r="F10" s="9"/>
      <c r="G10" s="9"/>
      <c r="H10" s="9"/>
      <c r="I10" s="9"/>
      <c r="J10" s="9"/>
      <c r="K10" s="7"/>
      <c r="L10" s="8"/>
      <c r="M10" s="3"/>
      <c r="N10" s="3"/>
      <c r="O10" s="3"/>
      <c r="P10" s="8"/>
      <c r="Q10" s="3"/>
      <c r="R10" s="7"/>
      <c r="S10" s="8"/>
      <c r="T10" s="3"/>
      <c r="U10" s="3"/>
      <c r="V10" s="3"/>
      <c r="W10" s="3"/>
      <c r="X10" s="3"/>
      <c r="Y10" s="3"/>
      <c r="Z10" s="7"/>
      <c r="AA10" s="8">
        <v>5</v>
      </c>
      <c r="AB10" s="8"/>
      <c r="AC10" s="3" t="s">
        <v>608</v>
      </c>
      <c r="AD10" s="3"/>
      <c r="AE10" s="3" t="s">
        <v>205</v>
      </c>
      <c r="AF10" s="9" t="s">
        <v>596</v>
      </c>
      <c r="AG10" s="9" t="s">
        <v>209</v>
      </c>
      <c r="AH10" s="9">
        <v>2</v>
      </c>
      <c r="AI10" s="9" t="s">
        <v>597</v>
      </c>
      <c r="AJ10" s="9" t="s">
        <v>598</v>
      </c>
      <c r="AK10" s="7"/>
      <c r="AL10" s="44"/>
      <c r="AM10" s="51" t="s">
        <v>609</v>
      </c>
      <c r="AN10" s="7"/>
      <c r="AO10" s="48"/>
    </row>
    <row r="11" spans="1:41" x14ac:dyDescent="0.45">
      <c r="A11" s="8">
        <v>6</v>
      </c>
      <c r="B11" s="8"/>
      <c r="C11" s="3"/>
      <c r="D11" s="3"/>
      <c r="E11" s="3"/>
      <c r="F11" s="9"/>
      <c r="G11" s="9"/>
      <c r="H11" s="9"/>
      <c r="I11" s="9"/>
      <c r="J11" s="9"/>
      <c r="K11" s="7"/>
      <c r="L11" s="8"/>
      <c r="M11" s="3"/>
      <c r="N11" s="3"/>
      <c r="O11" s="3"/>
      <c r="P11" s="8"/>
      <c r="Q11" s="3"/>
      <c r="R11" s="7"/>
      <c r="S11" s="8"/>
      <c r="T11" s="3"/>
      <c r="U11" s="3"/>
      <c r="V11" s="3"/>
      <c r="W11" s="3"/>
      <c r="X11" s="3"/>
      <c r="Y11" s="3"/>
      <c r="Z11" s="7"/>
      <c r="AA11" s="8">
        <v>6</v>
      </c>
      <c r="AB11" s="8"/>
      <c r="AC11" s="3" t="s">
        <v>610</v>
      </c>
      <c r="AD11" s="3"/>
      <c r="AE11" s="3" t="s">
        <v>205</v>
      </c>
      <c r="AF11" s="9" t="s">
        <v>596</v>
      </c>
      <c r="AG11" s="9" t="s">
        <v>209</v>
      </c>
      <c r="AH11" s="9">
        <v>2</v>
      </c>
      <c r="AI11" s="9" t="s">
        <v>597</v>
      </c>
      <c r="AJ11" s="9" t="s">
        <v>598</v>
      </c>
      <c r="AK11" s="7"/>
      <c r="AL11" s="44"/>
      <c r="AM11" s="50" t="s">
        <v>464</v>
      </c>
      <c r="AN11" s="7"/>
      <c r="AO11" s="7"/>
    </row>
    <row r="12" spans="1:41" x14ac:dyDescent="0.45">
      <c r="A12" s="8">
        <v>7</v>
      </c>
      <c r="B12" s="8"/>
      <c r="C12" s="3"/>
      <c r="D12" s="3"/>
      <c r="E12" s="3"/>
      <c r="F12" s="9"/>
      <c r="G12" s="9"/>
      <c r="H12" s="9"/>
      <c r="I12" s="9"/>
      <c r="J12" s="9"/>
      <c r="K12" s="7"/>
      <c r="L12" s="8"/>
      <c r="M12" s="3"/>
      <c r="N12" s="3"/>
      <c r="O12" s="3"/>
      <c r="P12" s="8"/>
      <c r="Q12" s="3"/>
      <c r="R12" s="7"/>
      <c r="S12" s="8"/>
      <c r="T12" s="3"/>
      <c r="U12" s="3"/>
      <c r="V12" s="3"/>
      <c r="W12" s="3"/>
      <c r="X12" s="3"/>
      <c r="Y12" s="3"/>
      <c r="Z12" s="7"/>
      <c r="AA12" s="8">
        <v>7</v>
      </c>
      <c r="AB12" s="8"/>
      <c r="AC12" s="3" t="s">
        <v>611</v>
      </c>
      <c r="AD12" s="3"/>
      <c r="AE12" s="3" t="s">
        <v>205</v>
      </c>
      <c r="AF12" s="9" t="s">
        <v>596</v>
      </c>
      <c r="AG12" s="9" t="s">
        <v>209</v>
      </c>
      <c r="AH12" s="9">
        <v>2</v>
      </c>
      <c r="AI12" s="9" t="s">
        <v>598</v>
      </c>
      <c r="AJ12" s="9" t="s">
        <v>598</v>
      </c>
      <c r="AK12" s="7"/>
      <c r="AL12" s="44"/>
      <c r="AM12" s="51" t="s">
        <v>446</v>
      </c>
      <c r="AN12" s="7"/>
      <c r="AO12" s="7"/>
    </row>
    <row r="13" spans="1:41" ht="64.8" x14ac:dyDescent="0.45">
      <c r="A13" s="8">
        <v>8</v>
      </c>
      <c r="B13" s="8"/>
      <c r="C13" s="3"/>
      <c r="D13" s="3"/>
      <c r="E13" s="3"/>
      <c r="F13" s="9"/>
      <c r="G13" s="9"/>
      <c r="H13" s="9"/>
      <c r="I13" s="9"/>
      <c r="J13" s="9"/>
      <c r="K13" s="7"/>
      <c r="L13" s="8"/>
      <c r="M13" s="3"/>
      <c r="N13" s="3"/>
      <c r="O13" s="3"/>
      <c r="P13" s="8"/>
      <c r="Q13" s="3"/>
      <c r="R13" s="7"/>
      <c r="S13" s="8"/>
      <c r="T13" s="3"/>
      <c r="U13" s="3"/>
      <c r="V13" s="3"/>
      <c r="W13" s="3"/>
      <c r="X13" s="3"/>
      <c r="Y13" s="3"/>
      <c r="Z13" s="7"/>
      <c r="AA13" s="8">
        <v>8</v>
      </c>
      <c r="AB13" s="8"/>
      <c r="AC13" s="3" t="s">
        <v>612</v>
      </c>
      <c r="AD13" s="3"/>
      <c r="AE13" s="3" t="s">
        <v>205</v>
      </c>
      <c r="AF13" s="9" t="s">
        <v>596</v>
      </c>
      <c r="AG13" s="9" t="s">
        <v>209</v>
      </c>
      <c r="AH13" s="9">
        <v>8</v>
      </c>
      <c r="AI13" s="9" t="s">
        <v>209</v>
      </c>
      <c r="AJ13" s="9" t="s">
        <v>598</v>
      </c>
      <c r="AK13" s="7" t="s">
        <v>613</v>
      </c>
      <c r="AL13" s="44"/>
      <c r="AM13" s="51" t="s">
        <v>614</v>
      </c>
      <c r="AN13" s="7"/>
      <c r="AO13" s="7" t="s">
        <v>615</v>
      </c>
    </row>
    <row r="14" spans="1:41" x14ac:dyDescent="0.45">
      <c r="A14" s="8">
        <v>9</v>
      </c>
      <c r="B14" s="8"/>
      <c r="C14" s="3"/>
      <c r="D14" s="3"/>
      <c r="E14" s="3"/>
      <c r="F14" s="9"/>
      <c r="G14" s="9"/>
      <c r="H14" s="9"/>
      <c r="I14" s="9"/>
      <c r="J14" s="9"/>
      <c r="K14" s="7"/>
      <c r="L14" s="8"/>
      <c r="M14" s="3"/>
      <c r="N14" s="3"/>
      <c r="O14" s="3"/>
      <c r="P14" s="8"/>
      <c r="Q14" s="3"/>
      <c r="R14" s="7"/>
      <c r="S14" s="8"/>
      <c r="T14" s="3"/>
      <c r="U14" s="3"/>
      <c r="V14" s="3"/>
      <c r="W14" s="3"/>
      <c r="X14" s="3"/>
      <c r="Y14" s="3"/>
      <c r="Z14" s="7"/>
      <c r="AA14" s="8">
        <v>9</v>
      </c>
      <c r="AB14" s="8"/>
      <c r="AC14" s="3" t="s">
        <v>616</v>
      </c>
      <c r="AD14" s="3"/>
      <c r="AE14" s="3" t="s">
        <v>205</v>
      </c>
      <c r="AF14" s="9" t="s">
        <v>596</v>
      </c>
      <c r="AG14" s="9" t="s">
        <v>209</v>
      </c>
      <c r="AH14" s="9">
        <v>32</v>
      </c>
      <c r="AI14" s="9" t="s">
        <v>209</v>
      </c>
      <c r="AJ14" s="9" t="s">
        <v>596</v>
      </c>
      <c r="AK14" s="7"/>
      <c r="AL14" s="44"/>
      <c r="AM14" s="51" t="s">
        <v>617</v>
      </c>
      <c r="AN14" s="7"/>
      <c r="AO14" s="7"/>
    </row>
    <row r="15" spans="1:41" x14ac:dyDescent="0.45">
      <c r="A15" s="8">
        <v>10</v>
      </c>
      <c r="B15" s="8"/>
      <c r="C15" s="3"/>
      <c r="D15" s="3"/>
      <c r="E15" s="3"/>
      <c r="F15" s="9"/>
      <c r="G15" s="9"/>
      <c r="H15" s="9"/>
      <c r="I15" s="9"/>
      <c r="J15" s="9"/>
      <c r="K15" s="7"/>
      <c r="L15" s="8"/>
      <c r="M15" s="3"/>
      <c r="N15" s="3"/>
      <c r="O15" s="3"/>
      <c r="P15" s="8"/>
      <c r="Q15" s="3"/>
      <c r="R15" s="7"/>
      <c r="S15" s="8"/>
      <c r="T15" s="3"/>
      <c r="U15" s="3"/>
      <c r="V15" s="3"/>
      <c r="W15" s="3"/>
      <c r="X15" s="3"/>
      <c r="Y15" s="3"/>
      <c r="Z15" s="7"/>
      <c r="AA15" s="8">
        <v>10</v>
      </c>
      <c r="AB15" s="8"/>
      <c r="AC15" s="3" t="s">
        <v>618</v>
      </c>
      <c r="AD15" s="3"/>
      <c r="AE15" s="3" t="s">
        <v>205</v>
      </c>
      <c r="AF15" s="9" t="s">
        <v>596</v>
      </c>
      <c r="AG15" s="9" t="s">
        <v>209</v>
      </c>
      <c r="AH15" s="9">
        <v>2</v>
      </c>
      <c r="AI15" s="9" t="s">
        <v>209</v>
      </c>
      <c r="AJ15" s="9" t="s">
        <v>596</v>
      </c>
      <c r="AK15" s="7"/>
      <c r="AL15" s="44"/>
      <c r="AM15" s="51" t="s">
        <v>446</v>
      </c>
      <c r="AN15" s="7"/>
      <c r="AO15" s="7"/>
    </row>
    <row r="16" spans="1:41" x14ac:dyDescent="0.45">
      <c r="A16" s="8">
        <v>11</v>
      </c>
      <c r="B16" s="8"/>
      <c r="C16" s="3"/>
      <c r="D16" s="3"/>
      <c r="E16" s="3"/>
      <c r="F16" s="9"/>
      <c r="G16" s="9"/>
      <c r="H16" s="9"/>
      <c r="I16" s="9"/>
      <c r="J16" s="9"/>
      <c r="K16" s="7"/>
      <c r="L16" s="8"/>
      <c r="M16" s="3"/>
      <c r="N16" s="3"/>
      <c r="O16" s="3"/>
      <c r="P16" s="8"/>
      <c r="Q16" s="3"/>
      <c r="R16" s="7"/>
      <c r="S16" s="8"/>
      <c r="T16" s="3"/>
      <c r="U16" s="3"/>
      <c r="V16" s="3"/>
      <c r="W16" s="3"/>
      <c r="X16" s="3"/>
      <c r="Y16" s="3"/>
      <c r="Z16" s="7"/>
      <c r="AA16" s="8">
        <v>11</v>
      </c>
      <c r="AB16" s="8"/>
      <c r="AC16" s="3" t="s">
        <v>619</v>
      </c>
      <c r="AD16" s="3"/>
      <c r="AE16" s="3" t="s">
        <v>205</v>
      </c>
      <c r="AF16" s="9" t="s">
        <v>596</v>
      </c>
      <c r="AG16" s="9" t="s">
        <v>209</v>
      </c>
      <c r="AH16" s="9">
        <v>20</v>
      </c>
      <c r="AI16" s="9" t="s">
        <v>209</v>
      </c>
      <c r="AJ16" s="9" t="s">
        <v>596</v>
      </c>
      <c r="AK16" s="7"/>
      <c r="AL16" s="44"/>
      <c r="AM16" s="51" t="s">
        <v>620</v>
      </c>
      <c r="AN16" s="7"/>
      <c r="AO16" s="7"/>
    </row>
    <row r="17" spans="1:41" x14ac:dyDescent="0.45">
      <c r="A17" s="8">
        <v>12</v>
      </c>
      <c r="B17" s="8"/>
      <c r="C17" s="3"/>
      <c r="D17" s="3"/>
      <c r="E17" s="3"/>
      <c r="F17" s="9"/>
      <c r="G17" s="9"/>
      <c r="H17" s="9"/>
      <c r="I17" s="9"/>
      <c r="J17" s="9"/>
      <c r="K17" s="7"/>
      <c r="L17" s="8"/>
      <c r="M17" s="3"/>
      <c r="N17" s="3"/>
      <c r="O17" s="3"/>
      <c r="P17" s="8"/>
      <c r="Q17" s="3"/>
      <c r="R17" s="7"/>
      <c r="S17" s="8"/>
      <c r="T17" s="3"/>
      <c r="U17" s="3"/>
      <c r="V17" s="3"/>
      <c r="W17" s="3"/>
      <c r="X17" s="3"/>
      <c r="Y17" s="3"/>
      <c r="Z17" s="7"/>
      <c r="AA17" s="8">
        <v>12</v>
      </c>
      <c r="AB17" s="8"/>
      <c r="AC17" s="3" t="s">
        <v>621</v>
      </c>
      <c r="AD17" s="3"/>
      <c r="AE17" s="3" t="s">
        <v>205</v>
      </c>
      <c r="AF17" s="9" t="s">
        <v>596</v>
      </c>
      <c r="AG17" s="9" t="s">
        <v>209</v>
      </c>
      <c r="AH17" s="9">
        <v>5</v>
      </c>
      <c r="AI17" s="9" t="s">
        <v>209</v>
      </c>
      <c r="AJ17" s="9" t="s">
        <v>598</v>
      </c>
      <c r="AK17" s="7"/>
      <c r="AL17" s="44"/>
      <c r="AM17" s="51" t="s">
        <v>622</v>
      </c>
      <c r="AN17" s="7"/>
      <c r="AO17" s="7"/>
    </row>
    <row r="18" spans="1:41" x14ac:dyDescent="0.45">
      <c r="A18" s="8">
        <v>13</v>
      </c>
      <c r="B18" s="8"/>
      <c r="C18" s="3"/>
      <c r="D18" s="3"/>
      <c r="E18" s="3"/>
      <c r="F18" s="9"/>
      <c r="G18" s="9"/>
      <c r="H18" s="9"/>
      <c r="I18" s="9"/>
      <c r="J18" s="9"/>
      <c r="K18" s="7"/>
      <c r="L18" s="8"/>
      <c r="M18" s="3"/>
      <c r="N18" s="3"/>
      <c r="O18" s="3"/>
      <c r="P18" s="8"/>
      <c r="Q18" s="3"/>
      <c r="R18" s="7"/>
      <c r="S18" s="8"/>
      <c r="T18" s="3"/>
      <c r="U18" s="3"/>
      <c r="V18" s="3"/>
      <c r="W18" s="3"/>
      <c r="X18" s="3"/>
      <c r="Y18" s="3"/>
      <c r="Z18" s="7"/>
      <c r="AA18" s="8">
        <v>13</v>
      </c>
      <c r="AB18" s="8"/>
      <c r="AC18" s="3" t="s">
        <v>623</v>
      </c>
      <c r="AD18" s="3"/>
      <c r="AE18" s="3" t="s">
        <v>205</v>
      </c>
      <c r="AF18" s="9" t="s">
        <v>596</v>
      </c>
      <c r="AG18" s="9" t="s">
        <v>209</v>
      </c>
      <c r="AH18" s="9">
        <v>5</v>
      </c>
      <c r="AI18" s="9" t="s">
        <v>209</v>
      </c>
      <c r="AJ18" s="9" t="s">
        <v>598</v>
      </c>
      <c r="AK18" s="7"/>
      <c r="AL18" s="44"/>
      <c r="AM18" s="51" t="s">
        <v>624</v>
      </c>
      <c r="AN18" s="7"/>
      <c r="AO18" s="7"/>
    </row>
    <row r="19" spans="1:41" x14ac:dyDescent="0.45">
      <c r="A19" s="8">
        <v>14</v>
      </c>
      <c r="B19" s="8"/>
      <c r="C19" s="3"/>
      <c r="D19" s="3"/>
      <c r="E19" s="3"/>
      <c r="F19" s="9"/>
      <c r="G19" s="9"/>
      <c r="H19" s="9"/>
      <c r="I19" s="9"/>
      <c r="J19" s="9"/>
      <c r="K19" s="7"/>
      <c r="L19" s="8"/>
      <c r="M19" s="3"/>
      <c r="N19" s="3"/>
      <c r="O19" s="3"/>
      <c r="P19" s="8"/>
      <c r="Q19" s="3"/>
      <c r="R19" s="7"/>
      <c r="S19" s="8"/>
      <c r="T19" s="3"/>
      <c r="U19" s="3"/>
      <c r="V19" s="3"/>
      <c r="W19" s="3"/>
      <c r="X19" s="3"/>
      <c r="Y19" s="3"/>
      <c r="Z19" s="7"/>
      <c r="AA19" s="8">
        <v>14</v>
      </c>
      <c r="AB19" s="8"/>
      <c r="AC19" s="3" t="s">
        <v>625</v>
      </c>
      <c r="AD19" s="3"/>
      <c r="AE19" s="3" t="s">
        <v>205</v>
      </c>
      <c r="AF19" s="9" t="s">
        <v>596</v>
      </c>
      <c r="AG19" s="9" t="s">
        <v>209</v>
      </c>
      <c r="AH19" s="9">
        <v>1</v>
      </c>
      <c r="AI19" s="9" t="s">
        <v>209</v>
      </c>
      <c r="AJ19" s="9" t="s">
        <v>596</v>
      </c>
      <c r="AK19" s="7"/>
      <c r="AL19" s="44"/>
      <c r="AM19" s="51"/>
      <c r="AN19" s="52" t="s">
        <v>626</v>
      </c>
      <c r="AO19" s="7"/>
    </row>
    <row r="29" spans="1:41" x14ac:dyDescent="0.45">
      <c r="AF29" s="53" t="s">
        <v>627</v>
      </c>
    </row>
  </sheetData>
  <phoneticPr fontId="10"/>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AO29"/>
  <sheetViews>
    <sheetView topLeftCell="N1" zoomScale="70" zoomScaleNormal="70" workbookViewId="0">
      <pane ySplit="5" topLeftCell="A6" activePane="bottomLeft" state="frozen"/>
      <selection activeCell="AQ23" sqref="AQ23"/>
      <selection pane="bottomLeft" activeCell="AQ23" sqref="AQ23"/>
    </sheetView>
  </sheetViews>
  <sheetFormatPr defaultColWidth="9" defaultRowHeight="16.2" x14ac:dyDescent="0.45"/>
  <cols>
    <col min="1" max="1" width="4.36328125" style="16" bestFit="1" customWidth="1"/>
    <col min="2" max="2" width="18" style="16" customWidth="1"/>
    <col min="3" max="4" width="14.7265625" style="1" customWidth="1"/>
    <col min="5" max="5" width="6.08984375" style="1" bestFit="1" customWidth="1"/>
    <col min="6" max="7" width="8" style="1" customWidth="1"/>
    <col min="8" max="8" width="8" style="1" bestFit="1" customWidth="1"/>
    <col min="9" max="10" width="4.7265625" style="1" bestFit="1" customWidth="1"/>
    <col min="11" max="11" width="27.6328125" style="1" customWidth="1"/>
    <col min="12" max="12" width="13.36328125" style="16" bestFit="1" customWidth="1"/>
    <col min="13" max="13" width="15.08984375" style="1" customWidth="1"/>
    <col min="14" max="14" width="16.36328125" style="1" customWidth="1"/>
    <col min="15" max="15" width="14.6328125" style="1" customWidth="1"/>
    <col min="16" max="16" width="4.36328125" style="1" customWidth="1"/>
    <col min="17" max="17" width="16.6328125" style="1" customWidth="1"/>
    <col min="18" max="18" width="31.90625" style="1" customWidth="1"/>
    <col min="19" max="19" width="4.36328125" style="1" customWidth="1"/>
    <col min="20" max="24" width="16.6328125" style="1" customWidth="1"/>
    <col min="25" max="25" width="5.26953125" style="1" bestFit="1" customWidth="1"/>
    <col min="26" max="26" width="31.90625" style="1" customWidth="1"/>
    <col min="27" max="27" width="4.36328125" style="16" bestFit="1" customWidth="1"/>
    <col min="28" max="28" width="15.90625" style="16" bestFit="1" customWidth="1"/>
    <col min="29" max="29" width="28.7265625" style="1" bestFit="1" customWidth="1"/>
    <col min="30" max="30" width="29.7265625" style="1" bestFit="1" customWidth="1"/>
    <col min="31" max="31" width="11.6328125" style="1" bestFit="1" customWidth="1"/>
    <col min="32" max="33" width="8" style="1" customWidth="1"/>
    <col min="34" max="34" width="8" style="1" bestFit="1" customWidth="1"/>
    <col min="35" max="36" width="4.7265625" style="1" bestFit="1" customWidth="1"/>
    <col min="37" max="37" width="27.6328125" style="1" customWidth="1"/>
    <col min="38" max="38" width="20.08984375" style="16" bestFit="1" customWidth="1"/>
    <col min="39" max="39" width="15.08984375" style="1" customWidth="1"/>
    <col min="40" max="40" width="18.6328125" style="1" bestFit="1" customWidth="1"/>
    <col min="41" max="41" width="21.36328125" style="45" customWidth="1"/>
    <col min="42" max="16384" width="9" style="1"/>
  </cols>
  <sheetData>
    <row r="1" spans="1:41" x14ac:dyDescent="0.45">
      <c r="A1" s="38" t="s">
        <v>3</v>
      </c>
      <c r="B1" s="43"/>
      <c r="C1" s="33"/>
      <c r="D1" s="49" t="s">
        <v>560</v>
      </c>
      <c r="E1" s="5"/>
      <c r="F1" s="6"/>
      <c r="G1" s="10" t="s">
        <v>561</v>
      </c>
      <c r="H1" s="11"/>
      <c r="I1" s="11"/>
      <c r="J1" s="39"/>
      <c r="K1" s="2"/>
      <c r="L1" s="40" t="s">
        <v>562</v>
      </c>
      <c r="M1" s="2"/>
    </row>
    <row r="2" spans="1:41" x14ac:dyDescent="0.45">
      <c r="A2" s="38" t="s">
        <v>563</v>
      </c>
      <c r="B2" s="43"/>
      <c r="C2" s="33"/>
      <c r="D2" s="4" t="s">
        <v>564</v>
      </c>
      <c r="E2" s="5"/>
      <c r="F2" s="6"/>
      <c r="G2" s="12" t="s">
        <v>565</v>
      </c>
      <c r="H2" s="13"/>
      <c r="I2" s="13"/>
      <c r="J2" s="33"/>
      <c r="K2" s="2" t="s">
        <v>566</v>
      </c>
      <c r="L2" s="41" t="s">
        <v>562</v>
      </c>
      <c r="M2" s="2"/>
    </row>
    <row r="4" spans="1:41" x14ac:dyDescent="0.45">
      <c r="A4" s="18" t="s">
        <v>191</v>
      </c>
      <c r="B4" s="19" t="s">
        <v>567</v>
      </c>
      <c r="C4" s="19" t="s">
        <v>568</v>
      </c>
      <c r="D4" s="19" t="s">
        <v>569</v>
      </c>
      <c r="E4" s="18" t="s">
        <v>570</v>
      </c>
      <c r="F4" s="20" t="s">
        <v>571</v>
      </c>
      <c r="G4" s="21"/>
      <c r="H4" s="22"/>
      <c r="I4" s="19" t="s">
        <v>572</v>
      </c>
      <c r="J4" s="19" t="s">
        <v>573</v>
      </c>
      <c r="K4" s="23" t="s">
        <v>574</v>
      </c>
      <c r="L4" s="18" t="s">
        <v>575</v>
      </c>
      <c r="M4" s="20" t="s">
        <v>576</v>
      </c>
      <c r="N4" s="22"/>
      <c r="O4" s="19" t="s">
        <v>577</v>
      </c>
      <c r="P4" s="20" t="s">
        <v>628</v>
      </c>
      <c r="Q4" s="21"/>
      <c r="R4" s="21"/>
      <c r="S4" s="28" t="s">
        <v>579</v>
      </c>
      <c r="T4" s="29"/>
      <c r="U4" s="29"/>
      <c r="V4" s="29"/>
      <c r="W4" s="29"/>
      <c r="X4" s="29"/>
      <c r="Y4" s="29"/>
      <c r="Z4" s="29"/>
      <c r="AA4" s="32" t="s">
        <v>191</v>
      </c>
      <c r="AB4" s="32" t="s">
        <v>580</v>
      </c>
      <c r="AC4" s="15" t="s">
        <v>568</v>
      </c>
      <c r="AD4" s="15" t="s">
        <v>569</v>
      </c>
      <c r="AE4" s="32" t="s">
        <v>570</v>
      </c>
      <c r="AF4" s="12" t="s">
        <v>571</v>
      </c>
      <c r="AG4" s="13"/>
      <c r="AH4" s="33"/>
      <c r="AI4" s="15" t="s">
        <v>572</v>
      </c>
      <c r="AJ4" s="15" t="s">
        <v>573</v>
      </c>
      <c r="AK4" s="34" t="s">
        <v>574</v>
      </c>
      <c r="AL4" s="32" t="s">
        <v>575</v>
      </c>
      <c r="AM4" s="12" t="s">
        <v>576</v>
      </c>
      <c r="AN4" s="33"/>
      <c r="AO4" s="46" t="s">
        <v>577</v>
      </c>
    </row>
    <row r="5" spans="1:41" ht="16.8" thickBot="1" x14ac:dyDescent="0.5">
      <c r="A5" s="24"/>
      <c r="B5" s="25" t="s">
        <v>581</v>
      </c>
      <c r="C5" s="25"/>
      <c r="D5" s="25"/>
      <c r="E5" s="25"/>
      <c r="F5" s="26" t="s">
        <v>582</v>
      </c>
      <c r="G5" s="26" t="s">
        <v>583</v>
      </c>
      <c r="H5" s="26" t="s">
        <v>584</v>
      </c>
      <c r="I5" s="25"/>
      <c r="J5" s="25"/>
      <c r="K5" s="27"/>
      <c r="L5" s="24"/>
      <c r="M5" s="26" t="s">
        <v>585</v>
      </c>
      <c r="N5" s="26" t="s">
        <v>586</v>
      </c>
      <c r="O5" s="25"/>
      <c r="P5" s="26" t="s">
        <v>441</v>
      </c>
      <c r="Q5" s="55" t="s">
        <v>587</v>
      </c>
      <c r="R5" s="26" t="s">
        <v>588</v>
      </c>
      <c r="S5" s="30" t="s">
        <v>441</v>
      </c>
      <c r="T5" s="31" t="s">
        <v>589</v>
      </c>
      <c r="U5" s="31" t="s">
        <v>590</v>
      </c>
      <c r="V5" s="31" t="s">
        <v>587</v>
      </c>
      <c r="W5" s="31" t="s">
        <v>591</v>
      </c>
      <c r="X5" s="31" t="s">
        <v>592</v>
      </c>
      <c r="Y5" s="31" t="s">
        <v>593</v>
      </c>
      <c r="Z5" s="30" t="s">
        <v>588</v>
      </c>
      <c r="AA5" s="35"/>
      <c r="AB5" s="35" t="s">
        <v>581</v>
      </c>
      <c r="AC5" s="36"/>
      <c r="AD5" s="36"/>
      <c r="AE5" s="36"/>
      <c r="AF5" s="14" t="s">
        <v>582</v>
      </c>
      <c r="AG5" s="14" t="s">
        <v>583</v>
      </c>
      <c r="AH5" s="14" t="s">
        <v>584</v>
      </c>
      <c r="AI5" s="36"/>
      <c r="AJ5" s="36"/>
      <c r="AK5" s="37"/>
      <c r="AL5" s="35"/>
      <c r="AM5" s="14" t="s">
        <v>585</v>
      </c>
      <c r="AN5" s="14" t="s">
        <v>586</v>
      </c>
      <c r="AO5" s="47"/>
    </row>
    <row r="6" spans="1:41" ht="16.8" thickTop="1" x14ac:dyDescent="0.45">
      <c r="A6" s="8">
        <v>1</v>
      </c>
      <c r="B6" s="8"/>
      <c r="C6" s="3"/>
      <c r="D6" s="17"/>
      <c r="E6" s="3"/>
      <c r="F6" s="9"/>
      <c r="G6" s="9"/>
      <c r="H6" s="9"/>
      <c r="I6" s="9"/>
      <c r="J6" s="9"/>
      <c r="K6" s="7"/>
      <c r="L6" s="8"/>
      <c r="M6" s="3"/>
      <c r="N6" s="3"/>
      <c r="O6" s="3"/>
      <c r="P6" s="8"/>
      <c r="Q6" s="3"/>
      <c r="R6" s="42"/>
      <c r="S6" s="8"/>
      <c r="T6" s="3" t="s">
        <v>629</v>
      </c>
      <c r="U6" s="3" t="s">
        <v>630</v>
      </c>
      <c r="V6" s="3" t="s">
        <v>631</v>
      </c>
      <c r="W6" s="3" t="s">
        <v>632</v>
      </c>
      <c r="X6" s="3" t="s">
        <v>315</v>
      </c>
      <c r="Y6" s="9">
        <v>8</v>
      </c>
      <c r="Z6" s="42"/>
      <c r="AA6" s="8">
        <v>1</v>
      </c>
      <c r="AB6" s="8"/>
      <c r="AC6" s="3" t="s">
        <v>594</v>
      </c>
      <c r="AD6" s="17"/>
      <c r="AE6" s="3" t="s">
        <v>595</v>
      </c>
      <c r="AF6" s="9" t="s">
        <v>596</v>
      </c>
      <c r="AG6" s="9" t="s">
        <v>209</v>
      </c>
      <c r="AH6" s="9">
        <v>8</v>
      </c>
      <c r="AI6" s="9" t="s">
        <v>597</v>
      </c>
      <c r="AJ6" s="9" t="s">
        <v>598</v>
      </c>
      <c r="AK6" s="7" t="s">
        <v>599</v>
      </c>
      <c r="AL6" s="8" t="s">
        <v>600</v>
      </c>
      <c r="AM6" s="50" t="s">
        <v>601</v>
      </c>
      <c r="AN6" s="7"/>
      <c r="AO6" s="7"/>
    </row>
    <row r="7" spans="1:41" x14ac:dyDescent="0.45">
      <c r="A7" s="8">
        <v>2</v>
      </c>
      <c r="B7" s="8"/>
      <c r="C7" s="3"/>
      <c r="D7" s="3"/>
      <c r="E7" s="3"/>
      <c r="F7" s="9"/>
      <c r="G7" s="9"/>
      <c r="H7" s="9"/>
      <c r="I7" s="9"/>
      <c r="J7" s="9"/>
      <c r="K7" s="7"/>
      <c r="L7" s="8"/>
      <c r="M7" s="3"/>
      <c r="N7" s="3"/>
      <c r="O7" s="3"/>
      <c r="P7" s="8"/>
      <c r="Q7" s="3"/>
      <c r="R7" s="7"/>
      <c r="S7" s="8"/>
      <c r="T7" s="3" t="s">
        <v>629</v>
      </c>
      <c r="U7" s="3" t="s">
        <v>633</v>
      </c>
      <c r="V7" s="3" t="s">
        <v>634</v>
      </c>
      <c r="W7" s="3" t="s">
        <v>632</v>
      </c>
      <c r="X7" s="3" t="s">
        <v>205</v>
      </c>
      <c r="Y7" s="9">
        <v>10</v>
      </c>
      <c r="Z7" s="7" t="s">
        <v>635</v>
      </c>
      <c r="AA7" s="8">
        <v>2</v>
      </c>
      <c r="AB7" s="8"/>
      <c r="AC7" s="3" t="s">
        <v>602</v>
      </c>
      <c r="AD7" s="3"/>
      <c r="AE7" s="3" t="s">
        <v>205</v>
      </c>
      <c r="AF7" s="9" t="s">
        <v>596</v>
      </c>
      <c r="AG7" s="9" t="s">
        <v>209</v>
      </c>
      <c r="AH7" s="9">
        <v>9</v>
      </c>
      <c r="AI7" s="9" t="s">
        <v>597</v>
      </c>
      <c r="AJ7" s="9" t="s">
        <v>598</v>
      </c>
      <c r="AK7" s="7"/>
      <c r="AL7" s="8"/>
      <c r="AM7" s="51" t="s">
        <v>603</v>
      </c>
      <c r="AN7" s="3"/>
      <c r="AO7" s="7"/>
    </row>
    <row r="8" spans="1:41" x14ac:dyDescent="0.45">
      <c r="A8" s="8">
        <v>3</v>
      </c>
      <c r="B8" s="8"/>
      <c r="C8" s="3"/>
      <c r="D8" s="3"/>
      <c r="E8" s="3"/>
      <c r="F8" s="9"/>
      <c r="G8" s="9"/>
      <c r="H8" s="9"/>
      <c r="I8" s="9"/>
      <c r="J8" s="9"/>
      <c r="K8" s="7"/>
      <c r="L8" s="8"/>
      <c r="M8" s="3"/>
      <c r="N8" s="3"/>
      <c r="O8" s="3"/>
      <c r="P8" s="8"/>
      <c r="Q8" s="3"/>
      <c r="R8" s="7"/>
      <c r="S8" s="8"/>
      <c r="T8" s="3" t="s">
        <v>629</v>
      </c>
      <c r="U8" s="3" t="s">
        <v>604</v>
      </c>
      <c r="V8" s="3" t="s">
        <v>636</v>
      </c>
      <c r="W8" s="3" t="s">
        <v>632</v>
      </c>
      <c r="X8" s="3" t="s">
        <v>315</v>
      </c>
      <c r="Y8" s="9">
        <v>8</v>
      </c>
      <c r="Z8" s="7"/>
      <c r="AA8" s="8">
        <v>3</v>
      </c>
      <c r="AB8" s="8"/>
      <c r="AC8" s="3" t="s">
        <v>604</v>
      </c>
      <c r="AD8" s="3"/>
      <c r="AE8" s="3" t="s">
        <v>205</v>
      </c>
      <c r="AF8" s="9" t="s">
        <v>596</v>
      </c>
      <c r="AG8" s="9" t="s">
        <v>209</v>
      </c>
      <c r="AH8" s="203">
        <v>8</v>
      </c>
      <c r="AI8" s="9" t="s">
        <v>597</v>
      </c>
      <c r="AJ8" s="9" t="s">
        <v>598</v>
      </c>
      <c r="AK8" s="7"/>
      <c r="AL8" s="8" t="s">
        <v>605</v>
      </c>
      <c r="AM8" s="51" t="s">
        <v>601</v>
      </c>
      <c r="AN8" s="3"/>
      <c r="AO8" s="7"/>
    </row>
    <row r="9" spans="1:41" x14ac:dyDescent="0.45">
      <c r="A9" s="8">
        <v>4</v>
      </c>
      <c r="B9" s="8"/>
      <c r="C9" s="3"/>
      <c r="D9" s="3"/>
      <c r="E9" s="3"/>
      <c r="F9" s="9"/>
      <c r="G9" s="9"/>
      <c r="H9" s="9"/>
      <c r="I9" s="9"/>
      <c r="J9" s="9"/>
      <c r="K9" s="7"/>
      <c r="L9" s="8"/>
      <c r="M9" s="3"/>
      <c r="N9" s="3"/>
      <c r="O9" s="3"/>
      <c r="P9" s="8"/>
      <c r="Q9" s="3"/>
      <c r="R9" s="7"/>
      <c r="S9" s="8"/>
      <c r="T9" s="3" t="s">
        <v>629</v>
      </c>
      <c r="U9" s="3" t="s">
        <v>633</v>
      </c>
      <c r="V9" s="3" t="s">
        <v>634</v>
      </c>
      <c r="W9" s="3" t="s">
        <v>632</v>
      </c>
      <c r="X9" s="3" t="s">
        <v>205</v>
      </c>
      <c r="Y9" s="9">
        <v>10</v>
      </c>
      <c r="Z9" s="7" t="s">
        <v>637</v>
      </c>
      <c r="AA9" s="8">
        <v>4</v>
      </c>
      <c r="AB9" s="8"/>
      <c r="AC9" s="3" t="s">
        <v>606</v>
      </c>
      <c r="AD9" s="3"/>
      <c r="AE9" s="3" t="s">
        <v>205</v>
      </c>
      <c r="AF9" s="9" t="s">
        <v>596</v>
      </c>
      <c r="AG9" s="9" t="s">
        <v>209</v>
      </c>
      <c r="AH9" s="9">
        <v>7</v>
      </c>
      <c r="AI9" s="9" t="s">
        <v>597</v>
      </c>
      <c r="AJ9" s="9" t="s">
        <v>598</v>
      </c>
      <c r="AK9" s="7"/>
      <c r="AL9" s="7"/>
      <c r="AM9" s="51" t="s">
        <v>607</v>
      </c>
      <c r="AN9" s="7"/>
      <c r="AO9" s="48"/>
    </row>
    <row r="10" spans="1:41" x14ac:dyDescent="0.45">
      <c r="A10" s="8">
        <v>5</v>
      </c>
      <c r="B10" s="8"/>
      <c r="C10" s="3"/>
      <c r="D10" s="3"/>
      <c r="E10" s="3"/>
      <c r="F10" s="9"/>
      <c r="G10" s="9"/>
      <c r="H10" s="9"/>
      <c r="I10" s="9"/>
      <c r="J10" s="9"/>
      <c r="K10" s="7"/>
      <c r="L10" s="8"/>
      <c r="M10" s="3"/>
      <c r="N10" s="3"/>
      <c r="O10" s="3"/>
      <c r="P10" s="8"/>
      <c r="Q10" s="3"/>
      <c r="R10" s="7"/>
      <c r="S10" s="8"/>
      <c r="T10" s="3"/>
      <c r="U10" s="3"/>
      <c r="V10" s="3"/>
      <c r="W10" s="3"/>
      <c r="X10" s="3"/>
      <c r="Y10" s="9"/>
      <c r="Z10" s="7" t="s">
        <v>638</v>
      </c>
      <c r="AA10" s="8">
        <v>5</v>
      </c>
      <c r="AB10" s="8"/>
      <c r="AC10" s="3" t="s">
        <v>608</v>
      </c>
      <c r="AD10" s="3"/>
      <c r="AE10" s="3" t="s">
        <v>205</v>
      </c>
      <c r="AF10" s="9" t="s">
        <v>596</v>
      </c>
      <c r="AG10" s="9" t="s">
        <v>209</v>
      </c>
      <c r="AH10" s="9">
        <v>2</v>
      </c>
      <c r="AI10" s="9" t="s">
        <v>597</v>
      </c>
      <c r="AJ10" s="9" t="s">
        <v>598</v>
      </c>
      <c r="AK10" s="7"/>
      <c r="AL10" s="44"/>
      <c r="AM10" s="51" t="s">
        <v>609</v>
      </c>
      <c r="AN10" s="7"/>
      <c r="AO10" s="48"/>
    </row>
    <row r="11" spans="1:41" x14ac:dyDescent="0.45">
      <c r="A11" s="8">
        <v>6</v>
      </c>
      <c r="B11" s="8"/>
      <c r="C11" s="3"/>
      <c r="D11" s="3"/>
      <c r="E11" s="3"/>
      <c r="F11" s="9"/>
      <c r="G11" s="9"/>
      <c r="H11" s="9"/>
      <c r="I11" s="9"/>
      <c r="J11" s="9"/>
      <c r="K11" s="7"/>
      <c r="L11" s="8"/>
      <c r="M11" s="3"/>
      <c r="N11" s="3"/>
      <c r="O11" s="3"/>
      <c r="P11" s="8"/>
      <c r="Q11" s="3"/>
      <c r="R11" s="7"/>
      <c r="S11" s="8"/>
      <c r="T11" s="3"/>
      <c r="U11" s="3"/>
      <c r="V11" s="3"/>
      <c r="W11" s="3"/>
      <c r="X11" s="3"/>
      <c r="Y11" s="9"/>
      <c r="Z11" s="7" t="s">
        <v>638</v>
      </c>
      <c r="AA11" s="8">
        <v>6</v>
      </c>
      <c r="AB11" s="8"/>
      <c r="AC11" s="3" t="s">
        <v>610</v>
      </c>
      <c r="AD11" s="3"/>
      <c r="AE11" s="3" t="s">
        <v>205</v>
      </c>
      <c r="AF11" s="9" t="s">
        <v>596</v>
      </c>
      <c r="AG11" s="9" t="s">
        <v>209</v>
      </c>
      <c r="AH11" s="9">
        <v>2</v>
      </c>
      <c r="AI11" s="9" t="s">
        <v>597</v>
      </c>
      <c r="AJ11" s="9" t="s">
        <v>598</v>
      </c>
      <c r="AK11" s="7"/>
      <c r="AL11" s="44"/>
      <c r="AM11" s="50" t="s">
        <v>464</v>
      </c>
      <c r="AN11" s="7"/>
      <c r="AO11" s="7"/>
    </row>
    <row r="12" spans="1:41" x14ac:dyDescent="0.45">
      <c r="A12" s="8">
        <v>7</v>
      </c>
      <c r="B12" s="8"/>
      <c r="C12" s="3"/>
      <c r="D12" s="3"/>
      <c r="E12" s="3"/>
      <c r="F12" s="9"/>
      <c r="G12" s="9"/>
      <c r="H12" s="9"/>
      <c r="I12" s="9"/>
      <c r="J12" s="9"/>
      <c r="K12" s="7"/>
      <c r="L12" s="8"/>
      <c r="M12" s="3"/>
      <c r="N12" s="3"/>
      <c r="O12" s="3"/>
      <c r="P12" s="8"/>
      <c r="Q12" s="3"/>
      <c r="R12" s="7"/>
      <c r="S12" s="8"/>
      <c r="T12" s="3" t="s">
        <v>639</v>
      </c>
      <c r="U12" s="3" t="s">
        <v>640</v>
      </c>
      <c r="V12" s="3" t="s">
        <v>641</v>
      </c>
      <c r="W12" s="3" t="s">
        <v>642</v>
      </c>
      <c r="X12" s="3" t="s">
        <v>643</v>
      </c>
      <c r="Y12" s="9">
        <v>4</v>
      </c>
      <c r="Z12" s="7" t="s">
        <v>644</v>
      </c>
      <c r="AA12" s="8">
        <v>7</v>
      </c>
      <c r="AB12" s="8"/>
      <c r="AC12" s="3" t="s">
        <v>611</v>
      </c>
      <c r="AD12" s="3"/>
      <c r="AE12" s="3" t="s">
        <v>205</v>
      </c>
      <c r="AF12" s="9" t="s">
        <v>596</v>
      </c>
      <c r="AG12" s="9" t="s">
        <v>209</v>
      </c>
      <c r="AH12" s="9">
        <v>2</v>
      </c>
      <c r="AI12" s="9" t="s">
        <v>598</v>
      </c>
      <c r="AJ12" s="9" t="s">
        <v>598</v>
      </c>
      <c r="AK12" s="7"/>
      <c r="AL12" s="44"/>
      <c r="AM12" s="51" t="s">
        <v>446</v>
      </c>
      <c r="AN12" s="7"/>
      <c r="AO12" s="7"/>
    </row>
    <row r="13" spans="1:41" ht="64.8" x14ac:dyDescent="0.45">
      <c r="A13" s="8">
        <v>8</v>
      </c>
      <c r="B13" s="8"/>
      <c r="C13" s="3"/>
      <c r="D13" s="3"/>
      <c r="E13" s="3"/>
      <c r="F13" s="9"/>
      <c r="G13" s="9"/>
      <c r="H13" s="9"/>
      <c r="I13" s="9"/>
      <c r="J13" s="9"/>
      <c r="K13" s="7"/>
      <c r="L13" s="8"/>
      <c r="M13" s="3"/>
      <c r="N13" s="3"/>
      <c r="O13" s="3"/>
      <c r="P13" s="8"/>
      <c r="Q13" s="3"/>
      <c r="R13" s="7"/>
      <c r="S13" s="8"/>
      <c r="T13" s="3" t="s">
        <v>639</v>
      </c>
      <c r="U13" s="3" t="s">
        <v>645</v>
      </c>
      <c r="V13" s="3" t="s">
        <v>646</v>
      </c>
      <c r="W13" s="3" t="s">
        <v>642</v>
      </c>
      <c r="X13" s="3" t="s">
        <v>595</v>
      </c>
      <c r="Y13" s="9">
        <v>40</v>
      </c>
      <c r="Z13" s="7" t="s">
        <v>647</v>
      </c>
      <c r="AA13" s="8">
        <v>8</v>
      </c>
      <c r="AB13" s="8"/>
      <c r="AC13" s="3" t="s">
        <v>612</v>
      </c>
      <c r="AD13" s="3"/>
      <c r="AE13" s="3" t="s">
        <v>205</v>
      </c>
      <c r="AF13" s="9" t="s">
        <v>596</v>
      </c>
      <c r="AG13" s="9" t="s">
        <v>209</v>
      </c>
      <c r="AH13" s="9">
        <v>8</v>
      </c>
      <c r="AI13" s="9" t="s">
        <v>209</v>
      </c>
      <c r="AJ13" s="9" t="s">
        <v>598</v>
      </c>
      <c r="AK13" s="7" t="s">
        <v>613</v>
      </c>
      <c r="AL13" s="44"/>
      <c r="AM13" s="51" t="s">
        <v>614</v>
      </c>
      <c r="AN13" s="7"/>
      <c r="AO13" s="7" t="s">
        <v>615</v>
      </c>
    </row>
    <row r="14" spans="1:41" ht="64.8" x14ac:dyDescent="0.45">
      <c r="A14" s="8">
        <v>9</v>
      </c>
      <c r="B14" s="8"/>
      <c r="C14" s="3"/>
      <c r="D14" s="3"/>
      <c r="E14" s="3"/>
      <c r="F14" s="9"/>
      <c r="G14" s="9"/>
      <c r="H14" s="9"/>
      <c r="I14" s="9"/>
      <c r="J14" s="9"/>
      <c r="K14" s="7"/>
      <c r="L14" s="8"/>
      <c r="M14" s="3"/>
      <c r="N14" s="3"/>
      <c r="O14" s="3"/>
      <c r="P14" s="8"/>
      <c r="Q14" s="3"/>
      <c r="R14" s="7"/>
      <c r="S14" s="8"/>
      <c r="T14" s="3"/>
      <c r="U14" s="3"/>
      <c r="V14" s="3"/>
      <c r="W14" s="3"/>
      <c r="X14" s="3"/>
      <c r="Y14" s="9"/>
      <c r="Z14" s="7" t="s">
        <v>648</v>
      </c>
      <c r="AA14" s="8">
        <v>9</v>
      </c>
      <c r="AB14" s="8"/>
      <c r="AC14" s="3" t="s">
        <v>616</v>
      </c>
      <c r="AD14" s="3"/>
      <c r="AE14" s="3" t="s">
        <v>205</v>
      </c>
      <c r="AF14" s="9" t="s">
        <v>596</v>
      </c>
      <c r="AG14" s="9" t="s">
        <v>209</v>
      </c>
      <c r="AH14" s="9">
        <v>32</v>
      </c>
      <c r="AI14" s="9" t="s">
        <v>209</v>
      </c>
      <c r="AJ14" s="9" t="s">
        <v>596</v>
      </c>
      <c r="AK14" s="7"/>
      <c r="AL14" s="44"/>
      <c r="AM14" s="51" t="s">
        <v>617</v>
      </c>
      <c r="AN14" s="7"/>
      <c r="AO14" s="7"/>
    </row>
    <row r="15" spans="1:41" x14ac:dyDescent="0.45">
      <c r="A15" s="8">
        <v>10</v>
      </c>
      <c r="B15" s="8"/>
      <c r="C15" s="3"/>
      <c r="D15" s="3"/>
      <c r="E15" s="3"/>
      <c r="F15" s="9"/>
      <c r="G15" s="9"/>
      <c r="H15" s="9"/>
      <c r="I15" s="9"/>
      <c r="J15" s="9"/>
      <c r="K15" s="7"/>
      <c r="L15" s="8"/>
      <c r="M15" s="3"/>
      <c r="N15" s="3"/>
      <c r="O15" s="3"/>
      <c r="P15" s="8"/>
      <c r="Q15" s="3"/>
      <c r="R15" s="7"/>
      <c r="S15" s="8"/>
      <c r="T15" s="3"/>
      <c r="U15" s="3"/>
      <c r="V15" s="3"/>
      <c r="W15" s="3"/>
      <c r="X15" s="3"/>
      <c r="Y15" s="9"/>
      <c r="Z15" s="7" t="s">
        <v>649</v>
      </c>
      <c r="AA15" s="8">
        <v>10</v>
      </c>
      <c r="AB15" s="8"/>
      <c r="AC15" s="3" t="s">
        <v>618</v>
      </c>
      <c r="AD15" s="3"/>
      <c r="AE15" s="3" t="s">
        <v>205</v>
      </c>
      <c r="AF15" s="9" t="s">
        <v>596</v>
      </c>
      <c r="AG15" s="9" t="s">
        <v>209</v>
      </c>
      <c r="AH15" s="9">
        <v>2</v>
      </c>
      <c r="AI15" s="9" t="s">
        <v>209</v>
      </c>
      <c r="AJ15" s="9" t="s">
        <v>596</v>
      </c>
      <c r="AK15" s="7"/>
      <c r="AL15" s="44"/>
      <c r="AM15" s="51" t="s">
        <v>446</v>
      </c>
      <c r="AN15" s="7"/>
      <c r="AO15" s="7"/>
    </row>
    <row r="16" spans="1:41" x14ac:dyDescent="0.45">
      <c r="A16" s="8">
        <v>11</v>
      </c>
      <c r="B16" s="8"/>
      <c r="C16" s="3"/>
      <c r="D16" s="3"/>
      <c r="E16" s="3"/>
      <c r="F16" s="9"/>
      <c r="G16" s="9"/>
      <c r="H16" s="9"/>
      <c r="I16" s="9"/>
      <c r="J16" s="9"/>
      <c r="K16" s="7"/>
      <c r="L16" s="8"/>
      <c r="M16" s="3"/>
      <c r="N16" s="3"/>
      <c r="O16" s="3"/>
      <c r="P16" s="8"/>
      <c r="Q16" s="3"/>
      <c r="R16" s="7"/>
      <c r="S16" s="8"/>
      <c r="T16" s="3"/>
      <c r="U16" s="3"/>
      <c r="V16" s="3"/>
      <c r="W16" s="3"/>
      <c r="X16" s="3"/>
      <c r="Y16" s="9"/>
      <c r="Z16" s="7" t="s">
        <v>650</v>
      </c>
      <c r="AA16" s="8">
        <v>11</v>
      </c>
      <c r="AB16" s="8"/>
      <c r="AC16" s="3" t="s">
        <v>619</v>
      </c>
      <c r="AD16" s="3"/>
      <c r="AE16" s="3" t="s">
        <v>205</v>
      </c>
      <c r="AF16" s="9" t="s">
        <v>596</v>
      </c>
      <c r="AG16" s="9" t="s">
        <v>209</v>
      </c>
      <c r="AH16" s="9">
        <v>20</v>
      </c>
      <c r="AI16" s="9" t="s">
        <v>209</v>
      </c>
      <c r="AJ16" s="9" t="s">
        <v>596</v>
      </c>
      <c r="AK16" s="7"/>
      <c r="AL16" s="44"/>
      <c r="AM16" s="51" t="s">
        <v>620</v>
      </c>
      <c r="AN16" s="7"/>
      <c r="AO16" s="7"/>
    </row>
    <row r="17" spans="1:41" ht="48.6" x14ac:dyDescent="0.45">
      <c r="A17" s="8">
        <v>12</v>
      </c>
      <c r="B17" s="8"/>
      <c r="C17" s="3"/>
      <c r="D17" s="3"/>
      <c r="E17" s="3"/>
      <c r="F17" s="9"/>
      <c r="G17" s="9"/>
      <c r="H17" s="9"/>
      <c r="I17" s="9"/>
      <c r="J17" s="9"/>
      <c r="K17" s="7"/>
      <c r="L17" s="8"/>
      <c r="M17" s="3"/>
      <c r="N17" s="3"/>
      <c r="O17" s="3"/>
      <c r="P17" s="8"/>
      <c r="Q17" s="3"/>
      <c r="R17" s="7"/>
      <c r="S17" s="8"/>
      <c r="T17" s="3" t="s">
        <v>639</v>
      </c>
      <c r="U17" s="3" t="s">
        <v>651</v>
      </c>
      <c r="V17" s="3" t="s">
        <v>652</v>
      </c>
      <c r="W17" s="3" t="s">
        <v>642</v>
      </c>
      <c r="X17" s="3" t="s">
        <v>653</v>
      </c>
      <c r="Y17" s="9">
        <v>13</v>
      </c>
      <c r="Z17" s="7" t="s">
        <v>654</v>
      </c>
      <c r="AA17" s="8">
        <v>12</v>
      </c>
      <c r="AB17" s="8"/>
      <c r="AC17" s="3" t="s">
        <v>621</v>
      </c>
      <c r="AD17" s="3"/>
      <c r="AE17" s="3" t="s">
        <v>205</v>
      </c>
      <c r="AF17" s="9" t="s">
        <v>596</v>
      </c>
      <c r="AG17" s="9" t="s">
        <v>209</v>
      </c>
      <c r="AH17" s="9">
        <v>5</v>
      </c>
      <c r="AI17" s="9" t="s">
        <v>209</v>
      </c>
      <c r="AJ17" s="9" t="s">
        <v>598</v>
      </c>
      <c r="AK17" s="7"/>
      <c r="AL17" s="44"/>
      <c r="AM17" s="51" t="s">
        <v>622</v>
      </c>
      <c r="AN17" s="7"/>
      <c r="AO17" s="7"/>
    </row>
    <row r="18" spans="1:41" x14ac:dyDescent="0.45">
      <c r="A18" s="8">
        <v>13</v>
      </c>
      <c r="B18" s="8"/>
      <c r="C18" s="3"/>
      <c r="D18" s="3"/>
      <c r="E18" s="3"/>
      <c r="F18" s="9"/>
      <c r="G18" s="9"/>
      <c r="H18" s="9"/>
      <c r="I18" s="9"/>
      <c r="J18" s="9"/>
      <c r="K18" s="7"/>
      <c r="L18" s="8"/>
      <c r="M18" s="3"/>
      <c r="N18" s="3"/>
      <c r="O18" s="3"/>
      <c r="P18" s="8"/>
      <c r="Q18" s="3"/>
      <c r="R18" s="7"/>
      <c r="S18" s="8"/>
      <c r="T18" s="3" t="s">
        <v>639</v>
      </c>
      <c r="U18" s="3" t="s">
        <v>655</v>
      </c>
      <c r="V18" s="3" t="s">
        <v>656</v>
      </c>
      <c r="W18" s="3" t="s">
        <v>642</v>
      </c>
      <c r="X18" s="3" t="s">
        <v>657</v>
      </c>
      <c r="Y18" s="9">
        <v>3</v>
      </c>
      <c r="Z18" s="7"/>
      <c r="AA18" s="8"/>
      <c r="AB18" s="8"/>
      <c r="AC18" s="3"/>
      <c r="AD18" s="3"/>
      <c r="AE18" s="3"/>
      <c r="AF18" s="9"/>
      <c r="AG18" s="9"/>
      <c r="AH18" s="9"/>
      <c r="AI18" s="9"/>
      <c r="AJ18" s="9"/>
      <c r="AK18" s="7"/>
      <c r="AL18" s="44"/>
      <c r="AM18" s="51"/>
      <c r="AN18" s="7"/>
      <c r="AO18" s="7"/>
    </row>
    <row r="19" spans="1:41" x14ac:dyDescent="0.45">
      <c r="A19" s="8">
        <v>14</v>
      </c>
      <c r="B19" s="8"/>
      <c r="C19" s="3"/>
      <c r="D19" s="3"/>
      <c r="E19" s="3"/>
      <c r="F19" s="9"/>
      <c r="G19" s="9"/>
      <c r="H19" s="9"/>
      <c r="I19" s="9"/>
      <c r="J19" s="9"/>
      <c r="K19" s="7"/>
      <c r="L19" s="8"/>
      <c r="M19" s="3"/>
      <c r="N19" s="3"/>
      <c r="O19" s="3"/>
      <c r="P19" s="8"/>
      <c r="Q19" s="3"/>
      <c r="R19" s="7"/>
      <c r="S19" s="8"/>
      <c r="T19" s="3"/>
      <c r="U19" s="3"/>
      <c r="V19" s="3"/>
      <c r="W19" s="3"/>
      <c r="X19" s="3"/>
      <c r="Y19" s="9"/>
      <c r="Z19" s="7"/>
      <c r="AA19" s="8">
        <v>13</v>
      </c>
      <c r="AB19" s="8"/>
      <c r="AC19" s="3" t="s">
        <v>623</v>
      </c>
      <c r="AD19" s="3"/>
      <c r="AE19" s="3" t="s">
        <v>205</v>
      </c>
      <c r="AF19" s="9" t="s">
        <v>596</v>
      </c>
      <c r="AG19" s="9" t="s">
        <v>209</v>
      </c>
      <c r="AH19" s="9">
        <v>5</v>
      </c>
      <c r="AI19" s="9" t="s">
        <v>209</v>
      </c>
      <c r="AJ19" s="9" t="s">
        <v>598</v>
      </c>
      <c r="AK19" s="7"/>
      <c r="AL19" s="44"/>
      <c r="AM19" s="51" t="s">
        <v>624</v>
      </c>
      <c r="AN19" s="7"/>
      <c r="AO19" s="7"/>
    </row>
    <row r="29" spans="1:41" x14ac:dyDescent="0.45">
      <c r="S29" s="54"/>
      <c r="AF29" s="53"/>
    </row>
  </sheetData>
  <phoneticPr fontId="10"/>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29D23E636F474489682B2874E539EE" ma:contentTypeVersion="14" ma:contentTypeDescription="Create a new document." ma:contentTypeScope="" ma:versionID="e093c3629baf805accd8fba37cba8988">
  <xsd:schema xmlns:xsd="http://www.w3.org/2001/XMLSchema" xmlns:xs="http://www.w3.org/2001/XMLSchema" xmlns:p="http://schemas.microsoft.com/office/2006/metadata/properties" xmlns:ns2="b4f6dab2-332a-4c13-845b-1c8114b21905" xmlns:ns3="f2193bdb-b5ce-461d-aa7e-6e11f2b0aa4a" targetNamespace="http://schemas.microsoft.com/office/2006/metadata/properties" ma:root="true" ma:fieldsID="f632b77f865bee190b322422d791dd8a" ns2:_="" ns3:_="">
    <xsd:import namespace="b4f6dab2-332a-4c13-845b-1c8114b21905"/>
    <xsd:import namespace="f2193bdb-b5ce-461d-aa7e-6e11f2b0aa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f6dab2-332a-4c13-845b-1c8114b219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2193bdb-b5ce-461d-aa7e-6e11f2b0aa4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d124719-4a49-42d1-865d-61e4513206da}" ma:internalName="TaxCatchAll" ma:showField="CatchAllData" ma:web="f2193bdb-b5ce-461d-aa7e-6e11f2b0aa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lcf76f155ced4ddcb4097134ff3c332f xmlns="b4f6dab2-332a-4c13-845b-1c8114b21905">
      <Terms xmlns="http://schemas.microsoft.com/office/infopath/2007/PartnerControls"/>
    </lcf76f155ced4ddcb4097134ff3c332f>
    <TaxCatchAll xmlns="f2193bdb-b5ce-461d-aa7e-6e11f2b0aa4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F3CAE0-86F8-4B50-9223-3078B9BC06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f6dab2-332a-4c13-845b-1c8114b21905"/>
    <ds:schemaRef ds:uri="f2193bdb-b5ce-461d-aa7e-6e11f2b0aa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7E04D3-5956-476A-9165-F06A566A7F08}">
  <ds:schemaRefs>
    <ds:schemaRef ds:uri="http://purl.org/dc/terms/"/>
    <ds:schemaRef ds:uri="http://schemas.microsoft.com/office/infopath/2007/PartnerControls"/>
    <ds:schemaRef ds:uri="http://schemas.microsoft.com/office/2006/documentManagement/types"/>
    <ds:schemaRef ds:uri="http://purl.org/dc/dcmitype/"/>
    <ds:schemaRef ds:uri="http://www.w3.org/XML/1998/namespace"/>
    <ds:schemaRef ds:uri="http://schemas.openxmlformats.org/package/2006/metadata/core-properties"/>
    <ds:schemaRef ds:uri="http://purl.org/dc/elements/1.1/"/>
    <ds:schemaRef ds:uri="f2193bdb-b5ce-461d-aa7e-6e11f2b0aa4a"/>
    <ds:schemaRef ds:uri="b4f6dab2-332a-4c13-845b-1c8114b21905"/>
    <ds:schemaRef ds:uri="http://schemas.microsoft.com/office/2006/metadata/properties"/>
  </ds:schemaRefs>
</ds:datastoreItem>
</file>

<file path=customXml/itemProps3.xml><?xml version="1.0" encoding="utf-8"?>
<ds:datastoreItem xmlns:ds="http://schemas.openxmlformats.org/officeDocument/2006/customXml" ds:itemID="{6A8130F8-1755-46A2-9EDE-0103AEFE47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6</vt:i4>
      </vt:variant>
    </vt:vector>
  </HeadingPairs>
  <TitlesOfParts>
    <vt:vector size="17" baseType="lpstr">
      <vt:lpstr>IF定義</vt:lpstr>
      <vt:lpstr>マッピング定義（海外）</vt:lpstr>
      <vt:lpstr>プロセスフロー</vt:lpstr>
      <vt:lpstr>プロセス定義</vt:lpstr>
      <vt:lpstr>DB定義</vt:lpstr>
      <vt:lpstr>外部パラメータ定義</vt:lpstr>
      <vt:lpstr>File定義</vt:lpstr>
      <vt:lpstr>エラー履歴テーブル仕様</vt:lpstr>
      <vt:lpstr>リスト</vt:lpstr>
      <vt:lpstr>①受信側記載要領</vt:lpstr>
      <vt:lpstr>②トランザクション定義書とのマッピング内容記載要領</vt:lpstr>
      <vt:lpstr>DB定義!Print_Area</vt:lpstr>
      <vt:lpstr>File定義!Print_Area</vt:lpstr>
      <vt:lpstr>IF定義!Print_Area</vt:lpstr>
      <vt:lpstr>プロセスフロー!Print_Area</vt:lpstr>
      <vt:lpstr>プロセス定義!Print_Area</vt:lpstr>
      <vt:lpstr>外部パラメータ定義!Print_Area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立林 佳樹</dc:creator>
  <cp:keywords/>
  <dc:description/>
  <cp:lastModifiedBy>黄　立軒</cp:lastModifiedBy>
  <cp:revision/>
  <dcterms:created xsi:type="dcterms:W3CDTF">2017-03-01T02:40:20Z</dcterms:created>
  <dcterms:modified xsi:type="dcterms:W3CDTF">2026-09-14T04:51:42Z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0x0101008129D23E636F474489682B2874E539EE</vt:lpwstr>
  </property>
</Properties>
</file>